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tahisa\Desktop\pvlite\inputdata\"/>
    </mc:Choice>
  </mc:AlternateContent>
  <xr:revisionPtr revIDLastSave="0" documentId="13_ncr:1_{898FF1D6-F9B6-4D93-A498-D1ABC6E8A16E}" xr6:coauthVersionLast="47" xr6:coauthVersionMax="47" xr10:uidLastSave="{00000000-0000-0000-0000-000000000000}"/>
  <bookViews>
    <workbookView xWindow="-108" yWindow="-108" windowWidth="23256" windowHeight="12720" tabRatio="833" firstSheet="1" activeTab="2" xr2:uid="{00000000-000D-0000-FFFF-FFFF00000000}"/>
  </bookViews>
  <sheets>
    <sheet name="Site" sheetId="6" r:id="rId1"/>
    <sheet name="Meteo" sheetId="7" r:id="rId2"/>
    <sheet name="PVgen" sheetId="8" r:id="rId3"/>
    <sheet name="Inverter" sheetId="28" r:id="rId4"/>
    <sheet name="GridInverter" sheetId="37" r:id="rId5"/>
    <sheet name="Wiring" sheetId="13" r:id="rId6"/>
    <sheet name="Battery" sheetId="33" r:id="rId7"/>
    <sheet name="BatteryMKBM" sheetId="36" r:id="rId8"/>
    <sheet name="Load" sheetId="34" r:id="rId9"/>
    <sheet name="Genset" sheetId="30" r:id="rId10"/>
    <sheet name="Wind" sheetId="35" r:id="rId11"/>
    <sheet name="Pumping" sheetId="32" r:id="rId12"/>
    <sheet name="Options" sheetId="12" r:id="rId13"/>
    <sheet name="Economics" sheetId="38" r:id="rId14"/>
  </sheets>
  <definedNames>
    <definedName name="_xlnm._FilterDatabase" localSheetId="0" hidden="1">Site!$E$8:$E$13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32" l="1"/>
  <c r="C23" i="32"/>
  <c r="C28" i="32" s="1"/>
  <c r="C7" i="32"/>
  <c r="C22" i="32" s="1"/>
  <c r="C8" i="35"/>
  <c r="C10" i="8"/>
  <c r="C16" i="30"/>
  <c r="B20" i="30"/>
  <c r="C20" i="30" s="1"/>
  <c r="B19" i="30"/>
  <c r="C19" i="30" s="1"/>
  <c r="B18" i="30"/>
  <c r="C18" i="30" s="1"/>
  <c r="B17" i="30"/>
  <c r="C17" i="30" s="1"/>
  <c r="C18" i="35"/>
  <c r="C17" i="35"/>
  <c r="B19" i="35"/>
  <c r="B18" i="35"/>
  <c r="B17" i="35"/>
  <c r="B12" i="35"/>
  <c r="G25" i="34"/>
  <c r="C47" i="34"/>
  <c r="D47" i="34" s="1"/>
  <c r="C17" i="34"/>
  <c r="B36" i="32"/>
  <c r="B35" i="32"/>
  <c r="B34" i="32"/>
  <c r="B33" i="32"/>
  <c r="B32" i="32"/>
  <c r="B31" i="32"/>
  <c r="B30" i="32"/>
  <c r="B29" i="32"/>
  <c r="B28" i="32"/>
  <c r="C33" i="32" l="1"/>
  <c r="C35" i="32"/>
  <c r="C32" i="32"/>
  <c r="C31" i="32"/>
  <c r="C34" i="32"/>
  <c r="C30" i="32"/>
  <c r="C29" i="32"/>
  <c r="C27" i="32"/>
  <c r="C36" i="32"/>
  <c r="B16" i="35"/>
  <c r="C16" i="35" s="1"/>
  <c r="B13" i="35"/>
  <c r="C13" i="35" s="1"/>
  <c r="B14" i="35"/>
  <c r="C14" i="35" s="1"/>
  <c r="B15" i="35"/>
  <c r="C15" i="35" s="1"/>
</calcChain>
</file>

<file path=xl/sharedStrings.xml><?xml version="1.0" encoding="utf-8"?>
<sst xmlns="http://schemas.openxmlformats.org/spreadsheetml/2006/main" count="477" uniqueCount="318">
  <si>
    <t>Mayo</t>
  </si>
  <si>
    <t>ºC</t>
  </si>
  <si>
    <t>CVPT</t>
  </si>
  <si>
    <t>NOCT</t>
  </si>
  <si>
    <t>kWp</t>
  </si>
  <si>
    <t>kW</t>
  </si>
  <si>
    <t>%</t>
  </si>
  <si>
    <t>-</t>
  </si>
  <si>
    <t>Parameter</t>
  </si>
  <si>
    <t>Value</t>
  </si>
  <si>
    <t>Units</t>
  </si>
  <si>
    <t>Description</t>
  </si>
  <si>
    <t>Latitude</t>
  </si>
  <si>
    <t>Longitude</t>
  </si>
  <si>
    <t>Latitude of the location, positive in the Northern Hemisphere and negative in the Southern Hemisphere.</t>
  </si>
  <si>
    <t>Degree</t>
  </si>
  <si>
    <t>GEOGRAPHICAL DATA</t>
  </si>
  <si>
    <t>METEOROLOGICAL INPUT DATA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</si>
  <si>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</si>
  <si>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</si>
  <si>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</si>
  <si>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</si>
  <si>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</si>
  <si>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</si>
  <si>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</si>
  <si>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</si>
  <si>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</si>
  <si>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</si>
  <si>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</si>
  <si>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Tmm [ºC]</t>
  </si>
  <si>
    <r>
      <t>Gdm0 [Wh/m</t>
    </r>
    <r>
      <rPr>
        <vertAlign val="superscript"/>
        <sz val="12"/>
        <color indexed="9"/>
        <rFont val="Palatino Linotype"/>
        <family val="1"/>
      </rPr>
      <t>2</t>
    </r>
    <r>
      <rPr>
        <sz val="12"/>
        <color indexed="9"/>
        <rFont val="Palatino Linotype"/>
        <family val="1"/>
      </rPr>
      <t>]</t>
    </r>
  </si>
  <si>
    <t>TMm [ºC]</t>
  </si>
  <si>
    <t>Nominal Operation Cell Temperature</t>
  </si>
  <si>
    <t>WIRING</t>
  </si>
  <si>
    <t>SIMULATION OPTIONS</t>
  </si>
  <si>
    <t>Inverter</t>
  </si>
  <si>
    <t>Nominal output power of the inverter.</t>
  </si>
  <si>
    <t>Maximum output power of the inverter.</t>
  </si>
  <si>
    <t>No-load inverter losses.</t>
  </si>
  <si>
    <t>Linear inverter losses.</t>
  </si>
  <si>
    <t>Joule inverter losses.</t>
  </si>
  <si>
    <t>WDC</t>
  </si>
  <si>
    <t>Ground reflectance</t>
  </si>
  <si>
    <t>Simulation step</t>
  </si>
  <si>
    <t>Diffuse model</t>
  </si>
  <si>
    <t>s</t>
  </si>
  <si>
    <t>Model parameters</t>
  </si>
  <si>
    <t>Efficiency [%]</t>
  </si>
  <si>
    <t>Application</t>
  </si>
  <si>
    <t>Parameters</t>
  </si>
  <si>
    <r>
      <t>%·ºC</t>
    </r>
    <r>
      <rPr>
        <i/>
        <vertAlign val="superscript"/>
        <sz val="12"/>
        <rFont val="Palatino Linotype"/>
        <family val="1"/>
      </rPr>
      <t>-1</t>
    </r>
  </si>
  <si>
    <t>WATER PUMPING</t>
  </si>
  <si>
    <t>System curve</t>
  </si>
  <si>
    <t>m</t>
  </si>
  <si>
    <t>Head, H [m]</t>
  </si>
  <si>
    <t>Pump</t>
  </si>
  <si>
    <t>Motor</t>
  </si>
  <si>
    <t>rpm</t>
  </si>
  <si>
    <t>P2 [kW]</t>
  </si>
  <si>
    <t>Power efficiency</t>
  </si>
  <si>
    <t>Rated flow</t>
  </si>
  <si>
    <t>Rated head</t>
  </si>
  <si>
    <r>
      <t>m</t>
    </r>
    <r>
      <rPr>
        <i/>
        <vertAlign val="superscript"/>
        <sz val="12"/>
        <rFont val="Palatino Linotype"/>
        <family val="1"/>
      </rPr>
      <t>3</t>
    </r>
    <r>
      <rPr>
        <i/>
        <sz val="12"/>
        <rFont val="Palatino Linotype"/>
        <family val="1"/>
      </rPr>
      <t>/h</t>
    </r>
  </si>
  <si>
    <t>Pump curve</t>
  </si>
  <si>
    <t>H [m]</t>
  </si>
  <si>
    <t>Rated shaft power</t>
  </si>
  <si>
    <t>RPMnom</t>
  </si>
  <si>
    <t>Monthly diffuse fraction</t>
  </si>
  <si>
    <r>
      <t>kg/m</t>
    </r>
    <r>
      <rPr>
        <i/>
        <vertAlign val="superscript"/>
        <sz val="12"/>
        <rFont val="Palatino Linotype"/>
        <family val="1"/>
      </rPr>
      <t>3</t>
    </r>
  </si>
  <si>
    <r>
      <t>Flow, Q [m</t>
    </r>
    <r>
      <rPr>
        <vertAlign val="superscript"/>
        <sz val="12"/>
        <rFont val="Palatino Linotype"/>
        <family val="1"/>
      </rPr>
      <t>3</t>
    </r>
    <r>
      <rPr>
        <sz val="12"/>
        <rFont val="Palatino Linotype"/>
        <family val="1"/>
      </rPr>
      <t>/h]</t>
    </r>
  </si>
  <si>
    <t>Liquid density</t>
  </si>
  <si>
    <r>
      <t>Q [m</t>
    </r>
    <r>
      <rPr>
        <vertAlign val="superscript"/>
        <sz val="12"/>
        <rFont val="Palatino Linotype"/>
        <family val="1"/>
      </rPr>
      <t>3</t>
    </r>
    <r>
      <rPr>
        <sz val="12"/>
        <rFont val="Palatino Linotype"/>
        <family val="1"/>
      </rPr>
      <t>/h]</t>
    </r>
  </si>
  <si>
    <t>RPMmax</t>
  </si>
  <si>
    <t>Maximum speed, relative to the rated speed</t>
  </si>
  <si>
    <t>Minimum speed, relative to the rated speed, for water cooling</t>
  </si>
  <si>
    <t>Gdm0</t>
  </si>
  <si>
    <t>Tmm</t>
  </si>
  <si>
    <t>TMm</t>
  </si>
  <si>
    <t>PVnom</t>
  </si>
  <si>
    <t>PV GENERATOR</t>
  </si>
  <si>
    <t>Inclination of the modules regarding the horizontal, from 0º to 90º.</t>
  </si>
  <si>
    <t>Orientation of the modules towards the Equator. Zero towards the South in the Northern Hemisphere (North in the Southern Hemisphere), negative towards the East, and positive towards the West.</t>
  </si>
  <si>
    <t>Coefficient of Variation of PV module Power with Temperature (absolute value)</t>
  </si>
  <si>
    <t>k0</t>
  </si>
  <si>
    <t>k1</t>
  </si>
  <si>
    <t>k2</t>
  </si>
  <si>
    <t>Specification of the power efficiency curve</t>
  </si>
  <si>
    <t>Points of the power efficiency curve</t>
  </si>
  <si>
    <t>WAC</t>
  </si>
  <si>
    <t>BATTERY (Stand-alone PV systems)</t>
  </si>
  <si>
    <t>LOAD PROFILES</t>
  </si>
  <si>
    <t>CBAT</t>
  </si>
  <si>
    <t>Battery capacity</t>
  </si>
  <si>
    <t>kWh</t>
  </si>
  <si>
    <t>SOCmax</t>
  </si>
  <si>
    <t>SOCmin</t>
  </si>
  <si>
    <t>Minimum state of charge. Inverter and loads are disconnected when SOC decreases below this value.</t>
  </si>
  <si>
    <t>Maximum state of charge. The PV generator is disconnected when the SOC exceeds this value.</t>
  </si>
  <si>
    <t>Month</t>
  </si>
  <si>
    <t>Total</t>
  </si>
  <si>
    <t>Ldm</t>
  </si>
  <si>
    <t>Monthly average of daily energy consumption, Ldm [kWh/day]</t>
  </si>
  <si>
    <t>Hour, h</t>
  </si>
  <si>
    <t>(For a constant load profile write F(h)=1/24)</t>
  </si>
  <si>
    <t>F(h)</t>
  </si>
  <si>
    <t>F(h) indicates the fraction of daily energy consumed during the hour h.</t>
  </si>
  <si>
    <t>Normalised daily load profile</t>
  </si>
  <si>
    <t>GENERATOR SET</t>
  </si>
  <si>
    <t>Total yearly energy consumption [kWh/year]</t>
  </si>
  <si>
    <t>Soiling and incidence losses</t>
  </si>
  <si>
    <t>Degree of soiling on the PV generator under normal incidence</t>
  </si>
  <si>
    <t>PInom</t>
  </si>
  <si>
    <t>PImax</t>
  </si>
  <si>
    <t>pac</t>
  </si>
  <si>
    <t>Diffuse fraction</t>
  </si>
  <si>
    <t>Diffuse sky model</t>
  </si>
  <si>
    <t>Qrated</t>
  </si>
  <si>
    <t>Hrated</t>
  </si>
  <si>
    <t>P2rated</t>
  </si>
  <si>
    <t>Power curves</t>
  </si>
  <si>
    <t>P1, nominal curve of the power at the motor input, kW</t>
  </si>
  <si>
    <t>P1 [kW]</t>
  </si>
  <si>
    <t>P2, nominal curve of shaft power, kW</t>
  </si>
  <si>
    <t>Peak load demand</t>
  </si>
  <si>
    <t>SOCstart</t>
  </si>
  <si>
    <t>SOCstop</t>
  </si>
  <si>
    <t>State of charge for connecting the genset</t>
  </si>
  <si>
    <t>State of charge for disconnecting the genset</t>
  </si>
  <si>
    <t>PGENnom</t>
  </si>
  <si>
    <t>Nominal power of the genset</t>
  </si>
  <si>
    <t>Monthly average of maximum daily temperature,  ºC.</t>
  </si>
  <si>
    <r>
      <t>Monthly average of daily global  horizontal irradiation, Wh/m</t>
    </r>
    <r>
      <rPr>
        <vertAlign val="superscript"/>
        <sz val="11"/>
        <rFont val="Palatino Linotype"/>
        <family val="1"/>
      </rPr>
      <t>2</t>
    </r>
  </si>
  <si>
    <t>Altitude</t>
  </si>
  <si>
    <t>Meter</t>
  </si>
  <si>
    <t>Altitude of the location over sea level.</t>
  </si>
  <si>
    <t>Meteorological input data</t>
  </si>
  <si>
    <t>Standard longitude (multiple of 15º). Negative towards West and positive towards East.</t>
  </si>
  <si>
    <t>Fuel consumption</t>
  </si>
  <si>
    <t>(l/h)/kWnom</t>
  </si>
  <si>
    <t>(l/h)/kW</t>
  </si>
  <si>
    <t>F [l/h]</t>
  </si>
  <si>
    <t>Fuel consumption curve</t>
  </si>
  <si>
    <t>b1s</t>
  </si>
  <si>
    <t>b0s</t>
  </si>
  <si>
    <t>b0i</t>
  </si>
  <si>
    <t>b1i</t>
  </si>
  <si>
    <t>(l/h)</t>
  </si>
  <si>
    <t>Intercept coefficient 1</t>
  </si>
  <si>
    <t>Intercept coefficient 0</t>
  </si>
  <si>
    <t>Slope coefficient 0</t>
  </si>
  <si>
    <t>Slope coefficient 1</t>
  </si>
  <si>
    <t>(l/h)/(kWnom·kW)</t>
  </si>
  <si>
    <t>m/s</t>
  </si>
  <si>
    <t>Wind turbine</t>
  </si>
  <si>
    <t>Rated wind speed</t>
  </si>
  <si>
    <t>Cut-in wind speed</t>
  </si>
  <si>
    <t>Cut-out wind speed</t>
  </si>
  <si>
    <t>Power curve</t>
  </si>
  <si>
    <t>PWnom</t>
  </si>
  <si>
    <t>Wind speed, m/s</t>
  </si>
  <si>
    <t>Power, kW</t>
  </si>
  <si>
    <t>Rated speed</t>
  </si>
  <si>
    <t>Vci</t>
  </si>
  <si>
    <t>Vco</t>
  </si>
  <si>
    <t>Vnom</t>
  </si>
  <si>
    <r>
      <t>kW/(m/s)</t>
    </r>
    <r>
      <rPr>
        <i/>
        <vertAlign val="superscript"/>
        <sz val="12"/>
        <rFont val="Palatino Linotype"/>
        <family val="1"/>
      </rPr>
      <t>3</t>
    </r>
  </si>
  <si>
    <t>Cpeq</t>
  </si>
  <si>
    <r>
      <t>Equivalent power coefficient (</t>
    </r>
    <r>
      <rPr>
        <i/>
        <sz val="12"/>
        <rFont val="Palatino Linotype"/>
        <family val="1"/>
      </rPr>
      <t>Cpeq=0,5·</t>
    </r>
    <r>
      <rPr>
        <i/>
        <sz val="12"/>
        <rFont val="Symbol"/>
        <family val="1"/>
        <charset val="2"/>
      </rPr>
      <t>r</t>
    </r>
    <r>
      <rPr>
        <i/>
        <sz val="12"/>
        <rFont val="Palatino Linotype"/>
        <family val="1"/>
      </rPr>
      <t>·A·Cp</t>
    </r>
    <r>
      <rPr>
        <sz val="12"/>
        <rFont val="Palatino Linotype"/>
        <family val="1"/>
      </rPr>
      <t>)</t>
    </r>
  </si>
  <si>
    <t>Rated electrical power</t>
  </si>
  <si>
    <t>PGEN, [kW]</t>
  </si>
  <si>
    <t>Rth</t>
  </si>
  <si>
    <r>
      <t>ºC·m</t>
    </r>
    <r>
      <rPr>
        <i/>
        <vertAlign val="superscript"/>
        <sz val="12"/>
        <rFont val="Palatino Linotype"/>
        <family val="1"/>
      </rPr>
      <t>2</t>
    </r>
    <r>
      <rPr>
        <i/>
        <sz val="12"/>
        <rFont val="Palatino Linotype"/>
        <family val="1"/>
      </rPr>
      <t>/W</t>
    </r>
  </si>
  <si>
    <t>Thermal resistance. This parameter is calculated as [NOCT-20]/800, but other values can be chosen depending on the mounting and ventilation of PV modules.</t>
  </si>
  <si>
    <t>DC wiring losses</t>
  </si>
  <si>
    <t>AC wiring losses</t>
  </si>
  <si>
    <t>StandardLongitude</t>
  </si>
  <si>
    <t>InputData</t>
  </si>
  <si>
    <t>TimeSeries</t>
  </si>
  <si>
    <t>InverterCurve</t>
  </si>
  <si>
    <t>Density</t>
  </si>
  <si>
    <t>May</t>
  </si>
  <si>
    <t>Mounting structure</t>
  </si>
  <si>
    <t>Inclination</t>
  </si>
  <si>
    <t>Orientation</t>
  </si>
  <si>
    <t>Mounting</t>
  </si>
  <si>
    <t>Inclination of the modules regarding the horizontal, from 0º to 90º. The same for East and West structrures.</t>
  </si>
  <si>
    <t>Type of mounting structure: static or solar tracker (horizontal, azimutal and two axis)</t>
  </si>
  <si>
    <t>Azimutal tracking</t>
  </si>
  <si>
    <t>Static ground or roof</t>
  </si>
  <si>
    <t>Static delta</t>
  </si>
  <si>
    <t>Well/borehole</t>
  </si>
  <si>
    <t>Hs</t>
  </si>
  <si>
    <t>Static head</t>
  </si>
  <si>
    <t>Qtest</t>
  </si>
  <si>
    <t>Hdr</t>
  </si>
  <si>
    <t>Constant test flow</t>
  </si>
  <si>
    <r>
      <t>m/(m</t>
    </r>
    <r>
      <rPr>
        <i/>
        <vertAlign val="superscript"/>
        <sz val="12"/>
        <rFont val="Palatino Linotype"/>
        <family val="1"/>
      </rPr>
      <t>3</t>
    </r>
    <r>
      <rPr>
        <i/>
        <sz val="12"/>
        <rFont val="Palatino Linotype"/>
        <family val="1"/>
      </rPr>
      <t>/h)</t>
    </r>
  </si>
  <si>
    <t>kw1</t>
  </si>
  <si>
    <t>kw2</t>
  </si>
  <si>
    <t>Drawdown at constant test flow</t>
  </si>
  <si>
    <r>
      <t>m/(m</t>
    </r>
    <r>
      <rPr>
        <i/>
        <vertAlign val="superscript"/>
        <sz val="12"/>
        <rFont val="Palatino Linotype"/>
        <family val="1"/>
      </rPr>
      <t>3</t>
    </r>
    <r>
      <rPr>
        <i/>
        <sz val="12"/>
        <rFont val="Palatino Linotype"/>
        <family val="1"/>
      </rPr>
      <t>/h)</t>
    </r>
    <r>
      <rPr>
        <i/>
        <vertAlign val="superscript"/>
        <sz val="12"/>
        <rFont val="Palatino Linotype"/>
        <family val="1"/>
      </rPr>
      <t>2</t>
    </r>
  </si>
  <si>
    <t>Aquifer loss (this parameter is calculated as Hdr/Qtest, but other value can be chosen if a stepdrawdown test is available).</t>
  </si>
  <si>
    <t>Well loss (set to zero if only constant test flow is available).</t>
  </si>
  <si>
    <t>Water tank</t>
  </si>
  <si>
    <t>WTC</t>
  </si>
  <si>
    <r>
      <t>m</t>
    </r>
    <r>
      <rPr>
        <i/>
        <vertAlign val="superscript"/>
        <sz val="12"/>
        <rFont val="Palatino Linotype"/>
        <family val="1"/>
      </rPr>
      <t>3</t>
    </r>
  </si>
  <si>
    <t>Hr</t>
  </si>
  <si>
    <t>Discharge level</t>
  </si>
  <si>
    <t>ks0</t>
  </si>
  <si>
    <t>Total static head (Hs+Hr)</t>
  </si>
  <si>
    <t>ks1</t>
  </si>
  <si>
    <t>Specific drawdown (aquifer loss)</t>
  </si>
  <si>
    <t>ks2</t>
  </si>
  <si>
    <t>Friction plus well losses</t>
  </si>
  <si>
    <t>Friction losses at rated flow Qrated</t>
  </si>
  <si>
    <t>Water tank capacity (in this version the water storage is considered unlimited)</t>
  </si>
  <si>
    <t>Synthetic method for generating the times series when monthly averages are selected as input data</t>
  </si>
  <si>
    <t>Monthly average of minimum daily temperature,  ºC.</t>
  </si>
  <si>
    <t>HF,rated</t>
  </si>
  <si>
    <t>RPMcool</t>
  </si>
  <si>
    <t>Longitude of the location, negative towards West and positive towards East.</t>
  </si>
  <si>
    <t>BATTERY MKBM (Stand-alone PV systems)</t>
  </si>
  <si>
    <t>BatteryModel</t>
  </si>
  <si>
    <t>Enable MKBM model (1 = Original Simple Model, 2 = MKBM)</t>
  </si>
  <si>
    <t>BatteryType</t>
  </si>
  <si>
    <t>Battery type: 1 (Lead-acid), 2 (Li-ion LFP), 3 (NMC), 4 (LTO), 5 (Custom)</t>
  </si>
  <si>
    <t>MKBM_c</t>
  </si>
  <si>
    <t>Capacity ratio, e.g., 0,85</t>
  </si>
  <si>
    <t>MKBM_k</t>
  </si>
  <si>
    <t>1/h</t>
  </si>
  <si>
    <t>Rate constant, e.g., 2,5</t>
  </si>
  <si>
    <t>MKBM_eta_ch</t>
  </si>
  <si>
    <t>Charging efficiency, e.g., 0,95</t>
  </si>
  <si>
    <t>MKBM_eta_dis</t>
  </si>
  <si>
    <t>Discharge efficiency, e.g., 0,95</t>
  </si>
  <si>
    <t>MKBM_Pmax_ch</t>
  </si>
  <si>
    <t>Max. charging power</t>
  </si>
  <si>
    <t>MKBM_Pmax_dis</t>
  </si>
  <si>
    <t>Max. discharge power</t>
  </si>
  <si>
    <t>MKBM_LifeCycles</t>
  </si>
  <si>
    <t>Cycle life, e.g., 6000</t>
  </si>
  <si>
    <t>MKBM_LifeDoD</t>
  </si>
  <si>
    <t>Nominal Depth of Discharge (DoD) for cycling, e.g., 0,8</t>
  </si>
  <si>
    <t>MKBM_CalendarLife</t>
  </si>
  <si>
    <t>years</t>
  </si>
  <si>
    <t>Years taken to reach an SOH of 80%</t>
  </si>
  <si>
    <t>°C</t>
  </si>
  <si>
    <t>Minimum charge temp (e.g. 0)</t>
  </si>
  <si>
    <t>Maximum charge temp</t>
  </si>
  <si>
    <t>Minimum discharge temp</t>
  </si>
  <si>
    <t>Maximum discharge temp</t>
  </si>
  <si>
    <t>MKBM_SelfDischarge</t>
  </si>
  <si>
    <t>%/month</t>
  </si>
  <si>
    <t>Self-discharge rate. This slowly depletes the energy tanks hour by hour</t>
  </si>
  <si>
    <t>Ablytek 6MN6A275</t>
  </si>
  <si>
    <t>Exact name from CEC Modules.csv</t>
  </si>
  <si>
    <t>Number of modules in the system</t>
  </si>
  <si>
    <t>Module_Name</t>
  </si>
  <si>
    <t>Exact name from CEC Inverters.csv</t>
  </si>
  <si>
    <t>Exact name from PVlite_Batteries.csv</t>
  </si>
  <si>
    <t>Number of batteries in parallel in the system</t>
  </si>
  <si>
    <t>Fraction of the total pv power generated that goes directly to the DC bus (0.5 by default)</t>
  </si>
  <si>
    <t>Mixed structure</t>
  </si>
  <si>
    <t>PV application: (1: Grid, 2: Stand-alone, 3: Hybrid DC, 4: Hybrid AC, 5: Pumping)</t>
  </si>
  <si>
    <t>Nominal PV power (only used if Use_Database=0)</t>
  </si>
  <si>
    <t>ECONOMICS</t>
  </si>
  <si>
    <t>PV_Module_Cost</t>
  </si>
  <si>
    <t>€/Wp</t>
  </si>
  <si>
    <t>PV modules specific cost</t>
  </si>
  <si>
    <t>Inverter_Cost</t>
  </si>
  <si>
    <t>€/W</t>
  </si>
  <si>
    <t>Inverter specific cost</t>
  </si>
  <si>
    <t>Battery_Cost</t>
  </si>
  <si>
    <t>€/kWh</t>
  </si>
  <si>
    <t>Battery bank specific cost</t>
  </si>
  <si>
    <t>Genset_Cost</t>
  </si>
  <si>
    <t>€/kW</t>
  </si>
  <si>
    <t xml:space="preserve">Backup genset specific cost </t>
  </si>
  <si>
    <t>Fixed_Installation_Cost</t>
  </si>
  <si>
    <t>€</t>
  </si>
  <si>
    <t>Fixed installation and permitting costs</t>
  </si>
  <si>
    <t>Opex_Factor</t>
  </si>
  <si>
    <t>Discount_Rate</t>
  </si>
  <si>
    <t>Total expected lifespan of the project in years. Used for multi-year aging simulations and economic calculations</t>
  </si>
  <si>
    <t xml:space="preserve">Ginlong Technologies Co - Ltd : Solis-1P8K-4G-US [240V] </t>
  </si>
  <si>
    <t>Annual PV module power loss fraction due to aging (e.g., enter 0,008 for a 0,8% degradation per year)</t>
  </si>
  <si>
    <t>Wind_Cost</t>
  </si>
  <si>
    <t>Wind turbine specific cost.</t>
  </si>
  <si>
    <t xml:space="preserve">Annual OPEX as a fraction of CAPEX (e.g. 0,01 = 1%) </t>
  </si>
  <si>
    <t>Annual discount rate for NPC/LCOE (e.g. 0,05 = 5%)</t>
  </si>
  <si>
    <t>Fuel_Cost</t>
  </si>
  <si>
    <t>€/L</t>
  </si>
  <si>
    <t>Genset fuel cost. Used only when fuel consumption is simulated.</t>
  </si>
  <si>
    <t>Shenzhen Growatt New Energy Co - Ltd : SPH 4000TL BL-US [240V]</t>
  </si>
  <si>
    <t>Pylontech US2000C</t>
  </si>
  <si>
    <t>PV_DC_share</t>
  </si>
  <si>
    <t>Use_Database_PV</t>
  </si>
  <si>
    <t>Use_Database_Inv</t>
  </si>
  <si>
    <t>Inverter_Name</t>
  </si>
  <si>
    <t>Use_Database_GridInv</t>
  </si>
  <si>
    <t>Grid_Inverter_Name</t>
  </si>
  <si>
    <t>PGInom</t>
  </si>
  <si>
    <t>PGImax</t>
  </si>
  <si>
    <t>GridInverterCurve</t>
  </si>
  <si>
    <t>k0_g</t>
  </si>
  <si>
    <t>k1_g</t>
  </si>
  <si>
    <t>k2_g</t>
  </si>
  <si>
    <t>Use_Database_Bat</t>
  </si>
  <si>
    <t>Battery_Name</t>
  </si>
  <si>
    <t>N_Batteries</t>
  </si>
  <si>
    <t>MKBM_MinChargeTemp</t>
  </si>
  <si>
    <t>MKBM_MaxChargeTemp</t>
  </si>
  <si>
    <t>MKBM_MinDischargeTemp</t>
  </si>
  <si>
    <t>MKBM_MaxDischargeTemp</t>
  </si>
  <si>
    <t>Project_Lifetime</t>
  </si>
  <si>
    <t>PV_Degradation_Rate</t>
  </si>
  <si>
    <t>Set to 2 to use PVlite database (1 = Manual Mode, 2 = Use Database)</t>
  </si>
  <si>
    <t>N_Modules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</si>
</sst>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28" x14ac:knownFonts="1">
    <font>
      <sz val="10"/>
      <name val="Arial"/>
    </font>
    <font>
      <sz val="8"/>
      <name val="Arial"/>
      <family val="2"/>
    </font>
    <font>
      <sz val="8"/>
      <name val="Palatino Linotype"/>
      <family val="1"/>
    </font>
    <font>
      <b/>
      <sz val="16"/>
      <color indexed="9"/>
      <name val="Palatino Linotype"/>
      <family val="1"/>
    </font>
    <font>
      <sz val="12"/>
      <name val="Palatino Linotype"/>
      <family val="1"/>
    </font>
    <font>
      <b/>
      <sz val="12"/>
      <color indexed="9"/>
      <name val="Palatino Linotype"/>
      <family val="1"/>
    </font>
    <font>
      <i/>
      <sz val="12"/>
      <name val="Palatino Linotype"/>
      <family val="1"/>
    </font>
    <font>
      <b/>
      <sz val="12"/>
      <name val="Palatino Linotype"/>
      <family val="1"/>
    </font>
    <font>
      <sz val="10"/>
      <name val="Palatino Linotype"/>
      <family val="1"/>
    </font>
    <font>
      <vertAlign val="superscript"/>
      <sz val="12"/>
      <name val="Palatino Linotype"/>
      <family val="1"/>
    </font>
    <font>
      <vertAlign val="superscript"/>
      <sz val="12"/>
      <color indexed="9"/>
      <name val="Palatino Linotype"/>
      <family val="1"/>
    </font>
    <font>
      <sz val="12"/>
      <color indexed="9"/>
      <name val="Palatino Linotype"/>
      <family val="1"/>
    </font>
    <font>
      <i/>
      <vertAlign val="superscript"/>
      <sz val="12"/>
      <name val="Palatino Linotype"/>
      <family val="1"/>
    </font>
    <font>
      <i/>
      <sz val="10"/>
      <name val="Palatino Linotype"/>
      <family val="1"/>
    </font>
    <font>
      <b/>
      <sz val="10"/>
      <color indexed="9"/>
      <name val="Palatino Linotype"/>
      <family val="1"/>
    </font>
    <font>
      <i/>
      <sz val="10"/>
      <color indexed="9"/>
      <name val="Palatino Linotype"/>
      <family val="1"/>
    </font>
    <font>
      <b/>
      <sz val="12"/>
      <color indexed="8"/>
      <name val="Palatino Linotype"/>
      <family val="1"/>
    </font>
    <font>
      <b/>
      <i/>
      <sz val="12"/>
      <name val="Palatino Linotype"/>
      <family val="1"/>
    </font>
    <font>
      <b/>
      <sz val="10"/>
      <name val="Palatino Linotype"/>
      <family val="1"/>
    </font>
    <font>
      <sz val="10"/>
      <name val="Arial"/>
      <family val="2"/>
    </font>
    <font>
      <sz val="12"/>
      <color theme="0"/>
      <name val="Palatino Linotype"/>
      <family val="1"/>
    </font>
    <font>
      <b/>
      <sz val="12"/>
      <color theme="1"/>
      <name val="Palatino Linotype"/>
      <family val="1"/>
    </font>
    <font>
      <b/>
      <sz val="14"/>
      <color indexed="9"/>
      <name val="Palatino Linotype"/>
      <family val="1"/>
    </font>
    <font>
      <b/>
      <sz val="11"/>
      <name val="Palatino Linotype"/>
      <family val="1"/>
    </font>
    <font>
      <sz val="11"/>
      <name val="Palatino Linotype"/>
      <family val="1"/>
    </font>
    <font>
      <vertAlign val="superscript"/>
      <sz val="11"/>
      <name val="Palatino Linotype"/>
      <family val="1"/>
    </font>
    <font>
      <i/>
      <sz val="12"/>
      <name val="Symbol"/>
      <family val="1"/>
      <charset val="2"/>
    </font>
    <font>
      <b/>
      <i/>
      <sz val="12"/>
      <color theme="1"/>
      <name val="Palatino Linotype"/>
      <family val="1"/>
    </font>
  </fonts>
  <fills count="6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theme="3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5" fillId="0" borderId="0" xfId="0" applyFont="1" applyAlignment="1">
      <alignment horizontal="center"/>
    </xf>
    <xf numFmtId="0" fontId="4" fillId="0" borderId="6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justify" vertical="top" wrapText="1"/>
    </xf>
    <xf numFmtId="0" fontId="4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wrapText="1"/>
    </xf>
    <xf numFmtId="0" fontId="2" fillId="3" borderId="0" xfId="0" applyFont="1" applyFill="1" applyAlignment="1">
      <alignment horizontal="left" vertical="center"/>
    </xf>
    <xf numFmtId="0" fontId="5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wrapText="1"/>
    </xf>
    <xf numFmtId="0" fontId="4" fillId="0" borderId="0" xfId="0" applyFont="1" applyAlignment="1">
      <alignment horizontal="righ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4" fillId="0" borderId="9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16" fillId="0" borderId="12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1" xfId="0" applyFont="1" applyBorder="1" applyAlignment="1">
      <alignment horizontal="center" vertical="top" wrapText="1"/>
    </xf>
    <xf numFmtId="0" fontId="16" fillId="0" borderId="13" xfId="0" applyFont="1" applyBorder="1" applyAlignment="1">
      <alignment horizontal="left"/>
    </xf>
    <xf numFmtId="0" fontId="16" fillId="0" borderId="14" xfId="0" applyFont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4" fillId="0" borderId="10" xfId="0" applyNumberFormat="1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/>
    <xf numFmtId="164" fontId="4" fillId="0" borderId="6" xfId="0" applyNumberFormat="1" applyFont="1" applyBorder="1" applyAlignment="1">
      <alignment horizontal="center"/>
    </xf>
    <xf numFmtId="164" fontId="4" fillId="0" borderId="7" xfId="0" applyNumberFormat="1" applyFont="1" applyBorder="1" applyAlignment="1">
      <alignment horizontal="center"/>
    </xf>
    <xf numFmtId="164" fontId="4" fillId="0" borderId="8" xfId="0" applyNumberFormat="1" applyFont="1" applyBorder="1" applyAlignment="1">
      <alignment horizontal="center"/>
    </xf>
    <xf numFmtId="0" fontId="5" fillId="2" borderId="6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8" fillId="0" borderId="0" xfId="0" applyFont="1"/>
    <xf numFmtId="0" fontId="2" fillId="0" borderId="0" xfId="0" applyFont="1" applyAlignment="1">
      <alignment horizontal="left" vertical="center"/>
    </xf>
    <xf numFmtId="0" fontId="20" fillId="4" borderId="0" xfId="0" applyFont="1" applyFill="1"/>
    <xf numFmtId="0" fontId="20" fillId="4" borderId="0" xfId="0" applyFont="1" applyFill="1" applyAlignment="1">
      <alignment horizontal="center"/>
    </xf>
    <xf numFmtId="0" fontId="19" fillId="0" borderId="0" xfId="0" applyFont="1"/>
    <xf numFmtId="165" fontId="4" fillId="0" borderId="0" xfId="0" applyNumberFormat="1" applyFont="1" applyAlignment="1">
      <alignment horizontal="center"/>
    </xf>
    <xf numFmtId="0" fontId="21" fillId="0" borderId="12" xfId="0" applyFont="1" applyBorder="1" applyAlignment="1">
      <alignment horizontal="left"/>
    </xf>
    <xf numFmtId="0" fontId="21" fillId="0" borderId="12" xfId="0" applyFont="1" applyBorder="1" applyAlignment="1">
      <alignment horizontal="center"/>
    </xf>
    <xf numFmtId="0" fontId="20" fillId="4" borderId="11" xfId="0" applyFont="1" applyFill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22" fillId="2" borderId="0" xfId="0" applyFont="1" applyFill="1" applyAlignment="1">
      <alignment horizontal="center"/>
    </xf>
    <xf numFmtId="0" fontId="4" fillId="0" borderId="9" xfId="0" applyFont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5" fontId="4" fillId="0" borderId="9" xfId="0" applyNumberFormat="1" applyFont="1" applyBorder="1" applyAlignment="1" applyProtection="1">
      <alignment horizontal="center"/>
      <protection locked="0"/>
    </xf>
    <xf numFmtId="165" fontId="4" fillId="0" borderId="10" xfId="0" applyNumberFormat="1" applyFont="1" applyBorder="1" applyAlignment="1" applyProtection="1">
      <alignment horizontal="center"/>
      <protection locked="0"/>
    </xf>
    <xf numFmtId="165" fontId="4" fillId="0" borderId="11" xfId="0" applyNumberFormat="1" applyFont="1" applyBorder="1" applyAlignment="1" applyProtection="1">
      <alignment horizontal="center"/>
      <protection locked="0"/>
    </xf>
    <xf numFmtId="0" fontId="4" fillId="4" borderId="0" xfId="0" applyFont="1" applyFill="1"/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center"/>
    </xf>
    <xf numFmtId="0" fontId="14" fillId="4" borderId="0" xfId="0" applyFont="1" applyFill="1" applyAlignment="1">
      <alignment horizontal="left"/>
    </xf>
    <xf numFmtId="0" fontId="0" fillId="4" borderId="0" xfId="0" applyFill="1"/>
    <xf numFmtId="0" fontId="23" fillId="0" borderId="0" xfId="0" applyFont="1"/>
    <xf numFmtId="0" fontId="24" fillId="0" borderId="0" xfId="0" applyFont="1"/>
    <xf numFmtId="0" fontId="8" fillId="4" borderId="0" xfId="0" applyFont="1" applyFill="1"/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6" fillId="0" borderId="9" xfId="0" applyFont="1" applyBorder="1" applyAlignment="1">
      <alignment horizontal="center"/>
    </xf>
    <xf numFmtId="2" fontId="4" fillId="0" borderId="9" xfId="0" applyNumberFormat="1" applyFont="1" applyBorder="1" applyAlignment="1">
      <alignment horizontal="center" vertical="top" wrapText="1"/>
    </xf>
    <xf numFmtId="2" fontId="4" fillId="0" borderId="10" xfId="0" applyNumberFormat="1" applyFont="1" applyBorder="1" applyAlignment="1">
      <alignment horizontal="center" vertical="top" wrapText="1"/>
    </xf>
    <xf numFmtId="2" fontId="4" fillId="0" borderId="11" xfId="0" applyNumberFormat="1" applyFont="1" applyBorder="1" applyAlignment="1">
      <alignment horizontal="center" vertical="top" wrapText="1"/>
    </xf>
    <xf numFmtId="0" fontId="0" fillId="0" borderId="0" xfId="0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166" fontId="4" fillId="0" borderId="0" xfId="0" applyNumberFormat="1" applyFont="1" applyAlignment="1">
      <alignment horizontal="center" vertical="top" wrapText="1"/>
    </xf>
    <xf numFmtId="0" fontId="4" fillId="0" borderId="0" xfId="0" applyFont="1" applyAlignment="1" applyProtection="1">
      <alignment horizontal="center" vertical="top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11" fontId="4" fillId="0" borderId="0" xfId="0" applyNumberFormat="1" applyFont="1" applyAlignment="1" applyProtection="1">
      <alignment horizontal="center" vertical="center" wrapText="1"/>
      <protection locked="0"/>
    </xf>
    <xf numFmtId="0" fontId="4" fillId="0" borderId="9" xfId="0" applyFont="1" applyBorder="1" applyAlignment="1">
      <alignment horizontal="center"/>
    </xf>
    <xf numFmtId="0" fontId="27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justify" vertical="top"/>
    </xf>
    <xf numFmtId="0" fontId="4" fillId="0" borderId="0" xfId="0" applyFont="1" applyAlignment="1">
      <alignment horizontal="center" vertical="top"/>
    </xf>
    <xf numFmtId="0" fontId="4" fillId="5" borderId="0" xfId="0" applyFont="1" applyFill="1" applyAlignment="1">
      <alignment horizontal="left"/>
    </xf>
    <xf numFmtId="0" fontId="4" fillId="5" borderId="0" xfId="0" applyFont="1" applyFill="1" applyAlignment="1">
      <alignment horizontal="center"/>
    </xf>
    <xf numFmtId="49" fontId="4" fillId="5" borderId="0" xfId="0" applyNumberFormat="1" applyFont="1" applyFill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4" fillId="0" borderId="0" xfId="0" applyFont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80"/>
      <color rgb="FF00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856482525234709"/>
          <c:y val="8.9147624256693078E-2"/>
          <c:w val="0.76315878621082789"/>
          <c:h val="0.635661320786855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Inverter!$B$15:$B$20</c:f>
              <c:numCache>
                <c:formatCode>General</c:formatCode>
                <c:ptCount val="6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  <c:pt idx="3">
                  <c:v>0.5</c:v>
                </c:pt>
                <c:pt idx="4">
                  <c:v>0.75</c:v>
                </c:pt>
                <c:pt idx="5">
                  <c:v>1</c:v>
                </c:pt>
              </c:numCache>
            </c:numRef>
          </c:xVal>
          <c:yVal>
            <c:numRef>
              <c:f>Inverter!$C$15:$C$20</c:f>
              <c:numCache>
                <c:formatCode>General</c:formatCode>
                <c:ptCount val="6"/>
                <c:pt idx="0">
                  <c:v>0</c:v>
                </c:pt>
                <c:pt idx="1">
                  <c:v>94.2</c:v>
                </c:pt>
                <c:pt idx="2">
                  <c:v>96.4</c:v>
                </c:pt>
                <c:pt idx="3">
                  <c:v>96.7</c:v>
                </c:pt>
                <c:pt idx="4">
                  <c:v>96.4</c:v>
                </c:pt>
                <c:pt idx="5">
                  <c:v>96.2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3E-4840-8D76-D22E483D0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8175"/>
        <c:axId val="1"/>
      </c:scatterChart>
      <c:valAx>
        <c:axId val="2070078175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pac</a:t>
                </a:r>
              </a:p>
            </c:rich>
          </c:tx>
          <c:layout>
            <c:manualLayout>
              <c:xMode val="edge"/>
              <c:yMode val="edge"/>
              <c:x val="0.53023272090988638"/>
              <c:y val="0.8554771749421734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  <c:majorUnit val="0.2"/>
        <c:minorUnit val="0.2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Efficiency [%]</a:t>
                </a:r>
              </a:p>
            </c:rich>
          </c:tx>
          <c:layout>
            <c:manualLayout>
              <c:xMode val="edge"/>
              <c:yMode val="edge"/>
              <c:x val="1.7156814728302501E-2"/>
              <c:y val="0.22134448310240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817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 paperSize="9" orientation="landscape" horizontalDpi="0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856482525234709"/>
          <c:y val="8.9147624256693078E-2"/>
          <c:w val="0.76315878621082789"/>
          <c:h val="0.635661320786855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GridInverter!$B$15:$B$20</c:f>
              <c:numCache>
                <c:formatCode>General</c:formatCode>
                <c:ptCount val="6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  <c:pt idx="3">
                  <c:v>0.5</c:v>
                </c:pt>
                <c:pt idx="4">
                  <c:v>0.75</c:v>
                </c:pt>
                <c:pt idx="5">
                  <c:v>1</c:v>
                </c:pt>
              </c:numCache>
            </c:numRef>
          </c:xVal>
          <c:yVal>
            <c:numRef>
              <c:f>GridInverter!$C$15:$C$20</c:f>
              <c:numCache>
                <c:formatCode>General</c:formatCode>
                <c:ptCount val="6"/>
                <c:pt idx="0">
                  <c:v>0</c:v>
                </c:pt>
                <c:pt idx="1">
                  <c:v>94.2</c:v>
                </c:pt>
                <c:pt idx="2">
                  <c:v>96.4</c:v>
                </c:pt>
                <c:pt idx="3">
                  <c:v>96.7</c:v>
                </c:pt>
                <c:pt idx="4">
                  <c:v>96.4</c:v>
                </c:pt>
                <c:pt idx="5">
                  <c:v>96.2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A7-4FFA-8CCF-E58B147FA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8175"/>
        <c:axId val="1"/>
      </c:scatterChart>
      <c:valAx>
        <c:axId val="2070078175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pac</a:t>
                </a:r>
              </a:p>
            </c:rich>
          </c:tx>
          <c:layout>
            <c:manualLayout>
              <c:xMode val="edge"/>
              <c:yMode val="edge"/>
              <c:x val="0.53023272090988638"/>
              <c:y val="0.8554771749421734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  <c:majorUnit val="0.2"/>
        <c:minorUnit val="0.2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Efficiency [%]</a:t>
                </a:r>
              </a:p>
            </c:rich>
          </c:tx>
          <c:layout>
            <c:manualLayout>
              <c:xMode val="edge"/>
              <c:yMode val="edge"/>
              <c:x val="1.7156814728302501E-2"/>
              <c:y val="0.22134448310240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817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 paperSize="9" orientation="landscape" horizontalDpi="0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3759791122715404"/>
          <c:y val="8.646616541353383E-2"/>
          <c:w val="0.72584856396866837"/>
          <c:h val="0.65413533834586468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Load!$B$23:$B$46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Load!$C$23:$C$46</c:f>
              <c:numCache>
                <c:formatCode>0.000</c:formatCode>
                <c:ptCount val="24"/>
                <c:pt idx="0">
                  <c:v>5.8000000000000003E-2</c:v>
                </c:pt>
                <c:pt idx="1">
                  <c:v>3.2000000000000001E-2</c:v>
                </c:pt>
                <c:pt idx="2">
                  <c:v>1.7999999999999999E-2</c:v>
                </c:pt>
                <c:pt idx="3">
                  <c:v>1.4999999999999999E-2</c:v>
                </c:pt>
                <c:pt idx="4">
                  <c:v>1.4E-2</c:v>
                </c:pt>
                <c:pt idx="5">
                  <c:v>1.7999999999999999E-2</c:v>
                </c:pt>
                <c:pt idx="6">
                  <c:v>3.4000000000000002E-2</c:v>
                </c:pt>
                <c:pt idx="7">
                  <c:v>0.03</c:v>
                </c:pt>
                <c:pt idx="8">
                  <c:v>1.9E-2</c:v>
                </c:pt>
                <c:pt idx="9">
                  <c:v>1.7000000000000001E-2</c:v>
                </c:pt>
                <c:pt idx="10">
                  <c:v>1.7999999999999999E-2</c:v>
                </c:pt>
                <c:pt idx="11">
                  <c:v>2.1000000000000001E-2</c:v>
                </c:pt>
                <c:pt idx="12">
                  <c:v>2.7E-2</c:v>
                </c:pt>
                <c:pt idx="13">
                  <c:v>3.1E-2</c:v>
                </c:pt>
                <c:pt idx="14">
                  <c:v>3.5999999999999997E-2</c:v>
                </c:pt>
                <c:pt idx="15">
                  <c:v>5.1999999999999998E-2</c:v>
                </c:pt>
                <c:pt idx="16">
                  <c:v>5.0999999999999997E-2</c:v>
                </c:pt>
                <c:pt idx="17">
                  <c:v>3.5999999999999997E-2</c:v>
                </c:pt>
                <c:pt idx="18">
                  <c:v>2.5000000000000001E-2</c:v>
                </c:pt>
                <c:pt idx="19">
                  <c:v>2.4E-2</c:v>
                </c:pt>
                <c:pt idx="20">
                  <c:v>4.4999999999999998E-2</c:v>
                </c:pt>
                <c:pt idx="21">
                  <c:v>0.11700000000000001</c:v>
                </c:pt>
                <c:pt idx="22">
                  <c:v>0.14399999999999999</c:v>
                </c:pt>
                <c:pt idx="23">
                  <c:v>0.11799999999999999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AB-4492-92FF-53CE7617C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0687"/>
        <c:axId val="1"/>
      </c:scatterChart>
      <c:valAx>
        <c:axId val="2070070687"/>
        <c:scaling>
          <c:orientation val="minMax"/>
          <c:max val="24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Hour</a:t>
                </a:r>
              </a:p>
            </c:rich>
          </c:tx>
          <c:layout>
            <c:manualLayout>
              <c:xMode val="edge"/>
              <c:yMode val="edge"/>
              <c:x val="0.54308093994778073"/>
              <c:y val="0.845864661654135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Hourly</a:t>
                </a:r>
                <a:r>
                  <a:rPr lang="es-ES_tradnl" baseline="0"/>
                  <a:t> fraction, F(h)</a:t>
                </a:r>
                <a:endParaRPr lang="es-ES_tradnl"/>
              </a:p>
            </c:rich>
          </c:tx>
          <c:layout>
            <c:manualLayout>
              <c:xMode val="edge"/>
              <c:yMode val="edge"/>
              <c:x val="2.9737300536547977E-2"/>
              <c:y val="0.174324876057159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0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0687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3465558931117864"/>
          <c:y val="8.646616541353383E-2"/>
          <c:w val="0.67322131977597288"/>
          <c:h val="0.6541353383458646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66CC"/>
            </a:solidFill>
            <a:ln w="25400">
              <a:noFill/>
              <a:prstDash val="solid"/>
            </a:ln>
          </c:spPr>
          <c:invertIfNegative val="0"/>
          <c:cat>
            <c:strRef>
              <c:f>Load!$B$5:$B$16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Mayo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Load!$C$5:$C$16</c:f>
              <c:numCache>
                <c:formatCode>General</c:formatCode>
                <c:ptCount val="12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F9-462F-AAF7-FD9C2DEFA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0070687"/>
        <c:axId val="1"/>
      </c:barChart>
      <c:catAx>
        <c:axId val="2070070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Month</a:t>
                </a:r>
              </a:p>
            </c:rich>
          </c:tx>
          <c:layout>
            <c:manualLayout>
              <c:xMode val="edge"/>
              <c:yMode val="edge"/>
              <c:x val="0.53258216738655695"/>
              <c:y val="0.8633318433449095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Ldm [kWh/day]</a:t>
                </a:r>
              </a:p>
            </c:rich>
          </c:tx>
          <c:layout>
            <c:manualLayout>
              <c:xMode val="edge"/>
              <c:yMode val="edge"/>
              <c:x val="2.9737300536547977E-2"/>
              <c:y val="0.174324876057159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0687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4373320358180831"/>
          <c:y val="8.9147624256693078E-2"/>
          <c:w val="0.64854576774873574"/>
          <c:h val="0.65830098567867801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Genset!$B$16:$B$20</c:f>
              <c:numCache>
                <c:formatCode>General</c:formatCode>
                <c:ptCount val="5"/>
                <c:pt idx="0">
                  <c:v>0</c:v>
                </c:pt>
                <c:pt idx="1">
                  <c:v>1.5</c:v>
                </c:pt>
                <c:pt idx="2">
                  <c:v>3</c:v>
                </c:pt>
                <c:pt idx="3">
                  <c:v>4.5</c:v>
                </c:pt>
                <c:pt idx="4">
                  <c:v>6</c:v>
                </c:pt>
              </c:numCache>
            </c:numRef>
          </c:xVal>
          <c:yVal>
            <c:numRef>
              <c:f>Genset!$C$16:$C$20</c:f>
              <c:numCache>
                <c:formatCode>0.00</c:formatCode>
                <c:ptCount val="5"/>
                <c:pt idx="0">
                  <c:v>0.49019999999999997</c:v>
                </c:pt>
                <c:pt idx="1">
                  <c:v>0.85919999999999996</c:v>
                </c:pt>
                <c:pt idx="2">
                  <c:v>1.2282</c:v>
                </c:pt>
                <c:pt idx="3">
                  <c:v>1.5972</c:v>
                </c:pt>
                <c:pt idx="4">
                  <c:v>1.9661999999999999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CA-4021-B87C-6E7E10568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8175"/>
        <c:axId val="1"/>
      </c:scatterChart>
      <c:valAx>
        <c:axId val="2070078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Genset power,</a:t>
                </a:r>
                <a:r>
                  <a:rPr lang="es-ES_tradnl" baseline="0"/>
                  <a:t> kW</a:t>
                </a:r>
                <a:endParaRPr lang="es-ES_tradnl"/>
              </a:p>
            </c:rich>
          </c:tx>
          <c:layout>
            <c:manualLayout>
              <c:xMode val="edge"/>
              <c:yMode val="edge"/>
              <c:x val="0.36601706036745407"/>
              <c:y val="0.873677684828723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Fuel</a:t>
                </a:r>
                <a:r>
                  <a:rPr lang="es-ES_tradnl" baseline="0"/>
                  <a:t> consumption, </a:t>
                </a:r>
                <a:r>
                  <a:rPr lang="es-ES_tradnl"/>
                  <a:t>l/h</a:t>
                </a:r>
              </a:p>
            </c:rich>
          </c:tx>
          <c:layout>
            <c:manualLayout>
              <c:xMode val="edge"/>
              <c:yMode val="edge"/>
              <c:x val="1.1519028871391076E-2"/>
              <c:y val="0.13211375622935193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817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 paperSize="9" orientation="landscape" horizontalDpi="0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753421655478858"/>
          <c:y val="8.9147624256693078E-2"/>
          <c:w val="0.72100094353269861"/>
          <c:h val="0.6760414194800991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Wind!$B$11:$B$19</c:f>
              <c:numCache>
                <c:formatCode>General</c:formatCode>
                <c:ptCount val="9"/>
                <c:pt idx="0">
                  <c:v>0</c:v>
                </c:pt>
                <c:pt idx="1">
                  <c:v>3</c:v>
                </c:pt>
                <c:pt idx="2">
                  <c:v>4.4000000000000004</c:v>
                </c:pt>
                <c:pt idx="3">
                  <c:v>5.8000000000000007</c:v>
                </c:pt>
                <c:pt idx="4">
                  <c:v>7.2</c:v>
                </c:pt>
                <c:pt idx="5">
                  <c:v>8.6000000000000014</c:v>
                </c:pt>
                <c:pt idx="6">
                  <c:v>10</c:v>
                </c:pt>
                <c:pt idx="7">
                  <c:v>15</c:v>
                </c:pt>
                <c:pt idx="8">
                  <c:v>15</c:v>
                </c:pt>
              </c:numCache>
            </c:numRef>
          </c:xVal>
          <c:yVal>
            <c:numRef>
              <c:f>Wind!$C$11:$C$19</c:f>
              <c:numCache>
                <c:formatCode>0.00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C4-4E1F-B5B5-322142EBA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8175"/>
        <c:axId val="1"/>
      </c:scatterChart>
      <c:valAx>
        <c:axId val="2070078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Wind speed, m/s</a:t>
                </a:r>
              </a:p>
            </c:rich>
          </c:tx>
          <c:layout>
            <c:manualLayout>
              <c:xMode val="edge"/>
              <c:yMode val="edge"/>
              <c:x val="0.4120980443824625"/>
              <c:y val="0.8786484737353036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 baseline="0"/>
                  <a:t>Wind power, kW </a:t>
                </a:r>
                <a:endParaRPr lang="es-ES_tradnl"/>
              </a:p>
            </c:rich>
          </c:tx>
          <c:layout>
            <c:manualLayout>
              <c:xMode val="edge"/>
              <c:yMode val="edge"/>
              <c:x val="1.4991185803267129E-2"/>
              <c:y val="0.197425204547378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817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 paperSize="9" orientation="landscape" horizontalDpi="0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Genset!#REF!</c:f>
            </c:numRef>
          </c:xVal>
          <c:yVal>
            <c:numRef>
              <c:f>Genset!#REF!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9F-48E7-9CF5-0D87D8235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6511"/>
        <c:axId val="1"/>
      </c:scatterChart>
      <c:valAx>
        <c:axId val="20700765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Brake power [kW]</a:t>
                </a:r>
              </a:p>
            </c:rich>
          </c:tx>
          <c:layout>
            <c:manualLayout>
              <c:xMode val="edge"/>
              <c:yMode val="edge"/>
              <c:x val="0.41666779690816158"/>
              <c:y val="0.8418988930731483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BFSC [g/kWh]</a:t>
                </a:r>
              </a:p>
            </c:rich>
          </c:tx>
          <c:layout>
            <c:manualLayout>
              <c:xMode val="edge"/>
              <c:yMode val="edge"/>
              <c:x val="1.7156814728302501E-2"/>
              <c:y val="0.2213442884856784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6511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Genset!#REF!</c:f>
            </c:numRef>
          </c:xVal>
          <c:yVal>
            <c:numRef>
              <c:f>Genset!#REF!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18-4FC6-8903-6F5E5462B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4015"/>
        <c:axId val="1"/>
      </c:scatterChart>
      <c:valAx>
        <c:axId val="2070074015"/>
        <c:scaling>
          <c:orientation val="minMax"/>
          <c:max val="24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Hour</a:t>
                </a:r>
              </a:p>
            </c:rich>
          </c:tx>
          <c:layout>
            <c:manualLayout>
              <c:xMode val="edge"/>
              <c:yMode val="edge"/>
              <c:x val="0.54308081718792789"/>
              <c:y val="0.845864661654135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Load [kW]</a:t>
                </a:r>
              </a:p>
            </c:rich>
          </c:tx>
          <c:layout>
            <c:manualLayout>
              <c:xMode val="edge"/>
              <c:yMode val="edge"/>
              <c:x val="2.0887847034387879E-2"/>
              <c:y val="0.2669172932330827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401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Genset!#REF!</c:f>
            </c:numRef>
          </c:xVal>
          <c:yVal>
            <c:numRef>
              <c:f>Genset!#REF!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3A-46F8-BD74-08BD1F650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7759"/>
        <c:axId val="1"/>
      </c:scatterChart>
      <c:valAx>
        <c:axId val="2070077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Load power/Nominal power</a:t>
                </a:r>
              </a:p>
            </c:rich>
          </c:tx>
          <c:layout>
            <c:manualLayout>
              <c:xMode val="edge"/>
              <c:yMode val="edge"/>
              <c:x val="0.33088322093709582"/>
              <c:y val="0.83333683289588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  <c:majorUnit val="0.25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Efficiency [%]</a:t>
                </a:r>
              </a:p>
            </c:rich>
          </c:tx>
          <c:layout>
            <c:manualLayout>
              <c:xMode val="edge"/>
              <c:yMode val="edge"/>
              <c:x val="1.4705948837734996E-2"/>
              <c:y val="0.2166675415573053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7759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 paperSize="9" orientation="landscape" horizontalDpi="1200" verticalDpi="120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856482525234709"/>
          <c:y val="8.9147624256693078E-2"/>
          <c:w val="0.76315878621082789"/>
          <c:h val="0.635661320786855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Pumping!$B$87:$B$94</c:f>
              <c:numCache>
                <c:formatCode>General</c:formatCode>
                <c:ptCount val="8"/>
                <c:pt idx="0">
                  <c:v>0</c:v>
                </c:pt>
                <c:pt idx="1">
                  <c:v>9.8000000000000004E-2</c:v>
                </c:pt>
                <c:pt idx="2">
                  <c:v>0.17599999999999999</c:v>
                </c:pt>
                <c:pt idx="3">
                  <c:v>0.371</c:v>
                </c:pt>
                <c:pt idx="4">
                  <c:v>0.5</c:v>
                </c:pt>
                <c:pt idx="5">
                  <c:v>0.7</c:v>
                </c:pt>
                <c:pt idx="6">
                  <c:v>0.9</c:v>
                </c:pt>
              </c:numCache>
            </c:numRef>
          </c:xVal>
          <c:yVal>
            <c:numRef>
              <c:f>Pumping!$C$87:$C$94</c:f>
              <c:numCache>
                <c:formatCode>General</c:formatCode>
                <c:ptCount val="8"/>
                <c:pt idx="0">
                  <c:v>0</c:v>
                </c:pt>
                <c:pt idx="1">
                  <c:v>38.6</c:v>
                </c:pt>
                <c:pt idx="2">
                  <c:v>52.4</c:v>
                </c:pt>
                <c:pt idx="3">
                  <c:v>67.2</c:v>
                </c:pt>
                <c:pt idx="4">
                  <c:v>71</c:v>
                </c:pt>
                <c:pt idx="5">
                  <c:v>73</c:v>
                </c:pt>
                <c:pt idx="6">
                  <c:v>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0B-419E-9DF5-007FF6904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8175"/>
        <c:axId val="1"/>
      </c:scatterChart>
      <c:valAx>
        <c:axId val="2070078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Shaft power, P2 [kW]</a:t>
                </a:r>
              </a:p>
            </c:rich>
          </c:tx>
          <c:layout>
            <c:manualLayout>
              <c:xMode val="edge"/>
              <c:yMode val="edge"/>
              <c:x val="0.40430672242524707"/>
              <c:y val="0.8372125577326090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Efficiency [%]</a:t>
                </a:r>
              </a:p>
            </c:rich>
          </c:tx>
          <c:layout>
            <c:manualLayout>
              <c:xMode val="edge"/>
              <c:yMode val="edge"/>
              <c:x val="1.7156814728302501E-2"/>
              <c:y val="0.22134448310240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817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 paperSize="9" orientation="landscape" horizontalDpi="0" verticalDpi="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343185947040507"/>
          <c:y val="9.0909266360830895E-2"/>
          <c:w val="0.75245278141463079"/>
          <c:h val="0.636364864525816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Pumping!$B$41:$B$50</c:f>
              <c:numCache>
                <c:formatCode>General</c:formatCode>
                <c:ptCount val="10"/>
                <c:pt idx="0">
                  <c:v>1.2E-2</c:v>
                </c:pt>
                <c:pt idx="1">
                  <c:v>1.0249999999999999</c:v>
                </c:pt>
                <c:pt idx="2">
                  <c:v>2.0129999999999999</c:v>
                </c:pt>
                <c:pt idx="3">
                  <c:v>3.0030000000000001</c:v>
                </c:pt>
                <c:pt idx="4">
                  <c:v>4.0190000000000001</c:v>
                </c:pt>
                <c:pt idx="5">
                  <c:v>4.976</c:v>
                </c:pt>
                <c:pt idx="6">
                  <c:v>6.0049999999999999</c:v>
                </c:pt>
              </c:numCache>
            </c:numRef>
          </c:xVal>
          <c:yVal>
            <c:numRef>
              <c:f>Pumping!$C$41:$C$50</c:f>
              <c:numCache>
                <c:formatCode>General</c:formatCode>
                <c:ptCount val="10"/>
                <c:pt idx="0">
                  <c:v>24.75</c:v>
                </c:pt>
                <c:pt idx="1">
                  <c:v>23.67</c:v>
                </c:pt>
                <c:pt idx="2">
                  <c:v>22.21</c:v>
                </c:pt>
                <c:pt idx="3">
                  <c:v>20.73</c:v>
                </c:pt>
                <c:pt idx="4">
                  <c:v>18.690000000000001</c:v>
                </c:pt>
                <c:pt idx="5">
                  <c:v>15.85</c:v>
                </c:pt>
                <c:pt idx="6">
                  <c:v>11.44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05-4211-98B2-E09F5F5B2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2706319"/>
        <c:axId val="1"/>
      </c:scatterChart>
      <c:valAx>
        <c:axId val="20727063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_tradnl" sz="1200" b="0" i="0" u="none" strike="noStrike" baseline="0">
                    <a:solidFill>
                      <a:srgbClr val="000000"/>
                    </a:solidFill>
                    <a:latin typeface="Palatino Linotype"/>
                  </a:rPr>
                  <a:t>Q [m</a:t>
                </a:r>
                <a:r>
                  <a:rPr lang="es-ES_tradnl" sz="1200" b="0" i="0" u="none" strike="noStrike" baseline="30000">
                    <a:solidFill>
                      <a:srgbClr val="000000"/>
                    </a:solidFill>
                    <a:latin typeface="Palatino Linotype"/>
                  </a:rPr>
                  <a:t>3</a:t>
                </a:r>
                <a:r>
                  <a:rPr lang="es-ES_tradnl" sz="1200" b="0" i="0" u="none" strike="noStrike" baseline="0">
                    <a:solidFill>
                      <a:srgbClr val="000000"/>
                    </a:solidFill>
                    <a:latin typeface="Palatino Linotype"/>
                  </a:rPr>
                  <a:t>/h]</a:t>
                </a:r>
              </a:p>
            </c:rich>
          </c:tx>
          <c:layout>
            <c:manualLayout>
              <c:xMode val="edge"/>
              <c:yMode val="edge"/>
              <c:x val="0.50939355602132463"/>
              <c:y val="0.8518863231983642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H [m]</a:t>
                </a:r>
              </a:p>
            </c:rich>
          </c:tx>
          <c:layout>
            <c:manualLayout>
              <c:xMode val="edge"/>
              <c:yMode val="edge"/>
              <c:x val="1.7156814728302501E-2"/>
              <c:y val="0.221344185909345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2706319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 paperSize="9" orientation="landscape" horizontalDpi="0" verticalDpi="0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343185947040507"/>
          <c:y val="9.0909266360830895E-2"/>
          <c:w val="0.75245278141463079"/>
          <c:h val="0.6363648645258162"/>
        </c:manualLayout>
      </c:layout>
      <c:scatterChart>
        <c:scatterStyle val="lineMarker"/>
        <c:varyColors val="0"/>
        <c:ser>
          <c:idx val="0"/>
          <c:order val="0"/>
          <c:tx>
            <c:v>P1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Pumping!$B$55:$B$64</c:f>
              <c:numCache>
                <c:formatCode>General</c:formatCode>
                <c:ptCount val="10"/>
                <c:pt idx="0">
                  <c:v>1.2E-2</c:v>
                </c:pt>
                <c:pt idx="1">
                  <c:v>1.0249999999999999</c:v>
                </c:pt>
                <c:pt idx="2">
                  <c:v>2.0129999999999999</c:v>
                </c:pt>
                <c:pt idx="3">
                  <c:v>3.0030000000000001</c:v>
                </c:pt>
                <c:pt idx="4">
                  <c:v>4.0190000000000001</c:v>
                </c:pt>
                <c:pt idx="5">
                  <c:v>4.976</c:v>
                </c:pt>
                <c:pt idx="6">
                  <c:v>6.0049999999999999</c:v>
                </c:pt>
              </c:numCache>
            </c:numRef>
          </c:xVal>
          <c:yVal>
            <c:numRef>
              <c:f>Pumping!$C$55:$C$64</c:f>
              <c:numCache>
                <c:formatCode>General</c:formatCode>
                <c:ptCount val="10"/>
                <c:pt idx="0">
                  <c:v>0.253</c:v>
                </c:pt>
                <c:pt idx="1">
                  <c:v>0.33600000000000002</c:v>
                </c:pt>
                <c:pt idx="2">
                  <c:v>0.41399999999999998</c:v>
                </c:pt>
                <c:pt idx="3">
                  <c:v>0.48099999999999998</c:v>
                </c:pt>
                <c:pt idx="4">
                  <c:v>0.53</c:v>
                </c:pt>
                <c:pt idx="5">
                  <c:v>0.55300000000000005</c:v>
                </c:pt>
                <c:pt idx="6">
                  <c:v>0.54900000000000004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7C-4251-A96E-2C9C06A76C04}"/>
            </c:ext>
          </c:extLst>
        </c:ser>
        <c:ser>
          <c:idx val="1"/>
          <c:order val="1"/>
          <c:tx>
            <c:v>P2</c:v>
          </c:tx>
          <c:spPr>
            <a:ln w="12700"/>
          </c:spPr>
          <c:xVal>
            <c:numRef>
              <c:f>Pumping!$B$68:$B$77</c:f>
              <c:numCache>
                <c:formatCode>General</c:formatCode>
                <c:ptCount val="10"/>
                <c:pt idx="0">
                  <c:v>1.2E-2</c:v>
                </c:pt>
                <c:pt idx="1">
                  <c:v>1.0249999999999999</c:v>
                </c:pt>
                <c:pt idx="2">
                  <c:v>2.0129999999999999</c:v>
                </c:pt>
                <c:pt idx="3">
                  <c:v>3.0030000000000001</c:v>
                </c:pt>
                <c:pt idx="4">
                  <c:v>4.0190000000000001</c:v>
                </c:pt>
                <c:pt idx="5">
                  <c:v>4.976</c:v>
                </c:pt>
                <c:pt idx="6">
                  <c:v>6.0049999999999999</c:v>
                </c:pt>
              </c:numCache>
            </c:numRef>
          </c:xVal>
          <c:yVal>
            <c:numRef>
              <c:f>Pumping!$C$68:$C$77</c:f>
              <c:numCache>
                <c:formatCode>General</c:formatCode>
                <c:ptCount val="10"/>
                <c:pt idx="0">
                  <c:v>9.8000000000000004E-2</c:v>
                </c:pt>
                <c:pt idx="1">
                  <c:v>0.17599999999999999</c:v>
                </c:pt>
                <c:pt idx="2">
                  <c:v>0.248</c:v>
                </c:pt>
                <c:pt idx="3">
                  <c:v>0.309</c:v>
                </c:pt>
                <c:pt idx="4">
                  <c:v>0.35199999999999998</c:v>
                </c:pt>
                <c:pt idx="5">
                  <c:v>0.371</c:v>
                </c:pt>
                <c:pt idx="6">
                  <c:v>0.36799999999999999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D9-4106-9D40-B0F0E3C4F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2706735"/>
        <c:axId val="1"/>
      </c:scatterChart>
      <c:valAx>
        <c:axId val="2072706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_tradnl" sz="1200" b="0" i="0" u="none" strike="noStrike" baseline="0">
                    <a:solidFill>
                      <a:srgbClr val="000000"/>
                    </a:solidFill>
                    <a:latin typeface="Palatino Linotype"/>
                  </a:rPr>
                  <a:t>Q [m</a:t>
                </a:r>
                <a:r>
                  <a:rPr lang="es-ES_tradnl" sz="1200" b="0" i="0" u="none" strike="noStrike" baseline="30000">
                    <a:solidFill>
                      <a:srgbClr val="000000"/>
                    </a:solidFill>
                    <a:latin typeface="Palatino Linotype"/>
                  </a:rPr>
                  <a:t>3</a:t>
                </a:r>
                <a:r>
                  <a:rPr lang="es-ES_tradnl" sz="1200" b="0" i="0" u="none" strike="noStrike" baseline="0">
                    <a:solidFill>
                      <a:srgbClr val="000000"/>
                    </a:solidFill>
                    <a:latin typeface="Palatino Linotype"/>
                  </a:rPr>
                  <a:t>/h]</a:t>
                </a:r>
              </a:p>
            </c:rich>
          </c:tx>
          <c:layout>
            <c:manualLayout>
              <c:xMode val="edge"/>
              <c:yMode val="edge"/>
              <c:x val="0.41666779690816158"/>
              <c:y val="0.8418988075928710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Power</a:t>
                </a:r>
                <a:r>
                  <a:rPr lang="es-ES_tradnl" baseline="0"/>
                  <a:t> curves</a:t>
                </a:r>
                <a:r>
                  <a:rPr lang="es-ES_tradnl"/>
                  <a:t> [kW]</a:t>
                </a:r>
              </a:p>
            </c:rich>
          </c:tx>
          <c:layout>
            <c:manualLayout>
              <c:xMode val="edge"/>
              <c:yMode val="edge"/>
              <c:x val="1.7156814728302501E-2"/>
              <c:y val="0.221344185909345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2706735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3172905525846699"/>
          <c:y val="0.44103906129380888"/>
          <c:w val="0.15418894830659535"/>
          <c:h val="0.2159610930986568"/>
        </c:manualLayout>
      </c:layout>
      <c:overlay val="0"/>
      <c:spPr>
        <a:solidFill>
          <a:schemeClr val="bg1"/>
        </a:solidFill>
        <a:ln>
          <a:solidFill>
            <a:srgbClr val="000000"/>
          </a:solidFill>
        </a:ln>
      </c:sp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343185947040507"/>
          <c:y val="9.0909266360830895E-2"/>
          <c:w val="0.75245278141463079"/>
          <c:h val="0.6363648645258162"/>
        </c:manualLayout>
      </c:layout>
      <c:scatterChart>
        <c:scatterStyle val="lineMarker"/>
        <c:varyColors val="0"/>
        <c:ser>
          <c:idx val="0"/>
          <c:order val="0"/>
          <c:tx>
            <c:v>Pump curve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Pumping!$B$41:$B$50</c:f>
              <c:numCache>
                <c:formatCode>General</c:formatCode>
                <c:ptCount val="10"/>
                <c:pt idx="0">
                  <c:v>1.2E-2</c:v>
                </c:pt>
                <c:pt idx="1">
                  <c:v>1.0249999999999999</c:v>
                </c:pt>
                <c:pt idx="2">
                  <c:v>2.0129999999999999</c:v>
                </c:pt>
                <c:pt idx="3">
                  <c:v>3.0030000000000001</c:v>
                </c:pt>
                <c:pt idx="4">
                  <c:v>4.0190000000000001</c:v>
                </c:pt>
                <c:pt idx="5">
                  <c:v>4.976</c:v>
                </c:pt>
                <c:pt idx="6">
                  <c:v>6.0049999999999999</c:v>
                </c:pt>
              </c:numCache>
            </c:numRef>
          </c:xVal>
          <c:yVal>
            <c:numRef>
              <c:f>Pumping!$C$41:$C$50</c:f>
              <c:numCache>
                <c:formatCode>General</c:formatCode>
                <c:ptCount val="10"/>
                <c:pt idx="0">
                  <c:v>24.75</c:v>
                </c:pt>
                <c:pt idx="1">
                  <c:v>23.67</c:v>
                </c:pt>
                <c:pt idx="2">
                  <c:v>22.21</c:v>
                </c:pt>
                <c:pt idx="3">
                  <c:v>20.73</c:v>
                </c:pt>
                <c:pt idx="4">
                  <c:v>18.690000000000001</c:v>
                </c:pt>
                <c:pt idx="5">
                  <c:v>15.85</c:v>
                </c:pt>
                <c:pt idx="6">
                  <c:v>11.44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A0-4A3E-B304-C05BB019FED7}"/>
            </c:ext>
          </c:extLst>
        </c:ser>
        <c:ser>
          <c:idx val="1"/>
          <c:order val="1"/>
          <c:tx>
            <c:v>System curve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Pumping!$B$27:$B$36</c:f>
              <c:numCache>
                <c:formatCode>0.0</c:formatCode>
                <c:ptCount val="10"/>
                <c:pt idx="0">
                  <c:v>0</c:v>
                </c:pt>
                <c:pt idx="1">
                  <c:v>0.75</c:v>
                </c:pt>
                <c:pt idx="2">
                  <c:v>1.5</c:v>
                </c:pt>
                <c:pt idx="3">
                  <c:v>2.25</c:v>
                </c:pt>
                <c:pt idx="4">
                  <c:v>3</c:v>
                </c:pt>
                <c:pt idx="5">
                  <c:v>3.75</c:v>
                </c:pt>
                <c:pt idx="6">
                  <c:v>4.5</c:v>
                </c:pt>
                <c:pt idx="7">
                  <c:v>5.25</c:v>
                </c:pt>
                <c:pt idx="8">
                  <c:v>6</c:v>
                </c:pt>
                <c:pt idx="9">
                  <c:v>6.75</c:v>
                </c:pt>
              </c:numCache>
            </c:numRef>
          </c:xVal>
          <c:yVal>
            <c:numRef>
              <c:f>Pumping!$C$27:$C$36</c:f>
              <c:numCache>
                <c:formatCode>0.0</c:formatCode>
                <c:ptCount val="10"/>
                <c:pt idx="0">
                  <c:v>17</c:v>
                </c:pt>
                <c:pt idx="1">
                  <c:v>17.345000000000002</c:v>
                </c:pt>
                <c:pt idx="2">
                  <c:v>17.78</c:v>
                </c:pt>
                <c:pt idx="3">
                  <c:v>18.305</c:v>
                </c:pt>
                <c:pt idx="4">
                  <c:v>18.919999999999998</c:v>
                </c:pt>
                <c:pt idx="5">
                  <c:v>19.625</c:v>
                </c:pt>
                <c:pt idx="6">
                  <c:v>20.420000000000002</c:v>
                </c:pt>
                <c:pt idx="7">
                  <c:v>21.305</c:v>
                </c:pt>
                <c:pt idx="8">
                  <c:v>22.279999999999998</c:v>
                </c:pt>
                <c:pt idx="9">
                  <c:v>23.344999999999999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8A0-4A3E-B304-C05BB019F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1900511"/>
        <c:axId val="1"/>
      </c:scatterChart>
      <c:valAx>
        <c:axId val="20719005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_tradnl" sz="1200" b="0" i="0" u="none" strike="noStrike" baseline="0">
                    <a:solidFill>
                      <a:srgbClr val="000000"/>
                    </a:solidFill>
                    <a:latin typeface="Palatino Linotype"/>
                  </a:rPr>
                  <a:t>Q [m</a:t>
                </a:r>
                <a:r>
                  <a:rPr lang="es-ES_tradnl" sz="1200" b="0" i="0" u="none" strike="noStrike" baseline="30000">
                    <a:solidFill>
                      <a:srgbClr val="000000"/>
                    </a:solidFill>
                    <a:latin typeface="Palatino Linotype"/>
                  </a:rPr>
                  <a:t>3</a:t>
                </a:r>
                <a:r>
                  <a:rPr lang="es-ES_tradnl" sz="1200" b="0" i="0" u="none" strike="noStrike" baseline="0">
                    <a:solidFill>
                      <a:srgbClr val="000000"/>
                    </a:solidFill>
                    <a:latin typeface="Palatino Linotype"/>
                  </a:rPr>
                  <a:t>/h]</a:t>
                </a:r>
              </a:p>
            </c:rich>
          </c:tx>
          <c:layout>
            <c:manualLayout>
              <c:xMode val="edge"/>
              <c:yMode val="edge"/>
              <c:x val="0.43675417661097854"/>
              <c:y val="0.8453637109794265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H [m]</a:t>
                </a:r>
              </a:p>
            </c:rich>
          </c:tx>
          <c:layout>
            <c:manualLayout>
              <c:xMode val="edge"/>
              <c:yMode val="edge"/>
              <c:x val="2.3724965413806032E-2"/>
              <c:y val="0.2992364098817544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1900511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467780429594272"/>
          <c:y val="7.2164948453608241E-2"/>
          <c:w val="0.31742243436754181"/>
          <c:h val="0.151202749140893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Palatino Linotype"/>
              <a:ea typeface="Palatino Linotype"/>
              <a:cs typeface="Palatino Linotype"/>
            </a:defRPr>
          </a:pPr>
          <a:endParaRPr lang="es-ES_tradnl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13</xdr:row>
      <xdr:rowOff>1</xdr:rowOff>
    </xdr:from>
    <xdr:to>
      <xdr:col>5</xdr:col>
      <xdr:colOff>0</xdr:colOff>
      <xdr:row>24</xdr:row>
      <xdr:rowOff>9525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B5B7EC11-2017-4CC9-B72D-14FB4C1F27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13</xdr:row>
      <xdr:rowOff>1</xdr:rowOff>
    </xdr:from>
    <xdr:to>
      <xdr:col>5</xdr:col>
      <xdr:colOff>0</xdr:colOff>
      <xdr:row>24</xdr:row>
      <xdr:rowOff>9525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D0F6E4CD-927E-4572-9D97-3A6A5B23C9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</xdr:colOff>
      <xdr:row>23</xdr:row>
      <xdr:rowOff>219075</xdr:rowOff>
    </xdr:from>
    <xdr:to>
      <xdr:col>4</xdr:col>
      <xdr:colOff>4305301</xdr:colOff>
      <xdr:row>35</xdr:row>
      <xdr:rowOff>219075</xdr:rowOff>
    </xdr:to>
    <xdr:graphicFrame macro="">
      <xdr:nvGraphicFramePr>
        <xdr:cNvPr id="2" name="Gráfico 3">
          <a:extLst>
            <a:ext uri="{FF2B5EF4-FFF2-40B4-BE49-F238E27FC236}">
              <a16:creationId xmlns:a16="http://schemas.microsoft.com/office/drawing/2014/main" id="{F946CBE1-D4A8-48D2-B62C-C575C2B437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</xdr:row>
      <xdr:rowOff>228599</xdr:rowOff>
    </xdr:from>
    <xdr:to>
      <xdr:col>4</xdr:col>
      <xdr:colOff>4257675</xdr:colOff>
      <xdr:row>13</xdr:row>
      <xdr:rowOff>219075</xdr:rowOff>
    </xdr:to>
    <xdr:graphicFrame macro="">
      <xdr:nvGraphicFramePr>
        <xdr:cNvPr id="3" name="Gráfico 3">
          <a:extLst>
            <a:ext uri="{FF2B5EF4-FFF2-40B4-BE49-F238E27FC236}">
              <a16:creationId xmlns:a16="http://schemas.microsoft.com/office/drawing/2014/main" id="{019874CE-3BBF-48C8-908A-7648D0EB45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13</xdr:row>
      <xdr:rowOff>0</xdr:rowOff>
    </xdr:from>
    <xdr:to>
      <xdr:col>4</xdr:col>
      <xdr:colOff>2285999</xdr:colOff>
      <xdr:row>23</xdr:row>
      <xdr:rowOff>66676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C5F56C3E-F1E4-4A30-A56D-99CBB6DBB7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914400</xdr:colOff>
      <xdr:row>9</xdr:row>
      <xdr:rowOff>0</xdr:rowOff>
    </xdr:from>
    <xdr:to>
      <xdr:col>4</xdr:col>
      <xdr:colOff>3533774</xdr:colOff>
      <xdr:row>19</xdr:row>
      <xdr:rowOff>0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E90FC94C-CD7A-43DD-B98B-E895A826C5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94</xdr:row>
      <xdr:rowOff>0</xdr:rowOff>
    </xdr:from>
    <xdr:to>
      <xdr:col>5</xdr:col>
      <xdr:colOff>0</xdr:colOff>
      <xdr:row>94</xdr:row>
      <xdr:rowOff>0</xdr:rowOff>
    </xdr:to>
    <xdr:graphicFrame macro="">
      <xdr:nvGraphicFramePr>
        <xdr:cNvPr id="50240" name="Gráfico 2">
          <a:extLst>
            <a:ext uri="{FF2B5EF4-FFF2-40B4-BE49-F238E27FC236}">
              <a16:creationId xmlns:a16="http://schemas.microsoft.com/office/drawing/2014/main" id="{E060F805-161B-DF5D-0BAD-D7239165EE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94</xdr:row>
      <xdr:rowOff>0</xdr:rowOff>
    </xdr:from>
    <xdr:to>
      <xdr:col>4</xdr:col>
      <xdr:colOff>2943225</xdr:colOff>
      <xdr:row>94</xdr:row>
      <xdr:rowOff>0</xdr:rowOff>
    </xdr:to>
    <xdr:graphicFrame macro="">
      <xdr:nvGraphicFramePr>
        <xdr:cNvPr id="50241" name="Gráfico 3">
          <a:extLst>
            <a:ext uri="{FF2B5EF4-FFF2-40B4-BE49-F238E27FC236}">
              <a16:creationId xmlns:a16="http://schemas.microsoft.com/office/drawing/2014/main" id="{E567F843-D40C-ECE1-AB9C-F6E6575D0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94</xdr:row>
      <xdr:rowOff>0</xdr:rowOff>
    </xdr:from>
    <xdr:to>
      <xdr:col>5</xdr:col>
      <xdr:colOff>0</xdr:colOff>
      <xdr:row>94</xdr:row>
      <xdr:rowOff>0</xdr:rowOff>
    </xdr:to>
    <xdr:graphicFrame macro="">
      <xdr:nvGraphicFramePr>
        <xdr:cNvPr id="50242" name="Gráfico 4">
          <a:extLst>
            <a:ext uri="{FF2B5EF4-FFF2-40B4-BE49-F238E27FC236}">
              <a16:creationId xmlns:a16="http://schemas.microsoft.com/office/drawing/2014/main" id="{5FB80B17-8F2F-C856-2515-C005997326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84</xdr:row>
      <xdr:rowOff>0</xdr:rowOff>
    </xdr:from>
    <xdr:to>
      <xdr:col>5</xdr:col>
      <xdr:colOff>0</xdr:colOff>
      <xdr:row>94</xdr:row>
      <xdr:rowOff>0</xdr:rowOff>
    </xdr:to>
    <xdr:graphicFrame macro="">
      <xdr:nvGraphicFramePr>
        <xdr:cNvPr id="50243" name="Gráfico 2">
          <a:extLst>
            <a:ext uri="{FF2B5EF4-FFF2-40B4-BE49-F238E27FC236}">
              <a16:creationId xmlns:a16="http://schemas.microsoft.com/office/drawing/2014/main" id="{712EE5FB-A6B4-C52A-F182-2028685178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1485900</xdr:colOff>
      <xdr:row>39</xdr:row>
      <xdr:rowOff>0</xdr:rowOff>
    </xdr:from>
    <xdr:to>
      <xdr:col>4</xdr:col>
      <xdr:colOff>3171825</xdr:colOff>
      <xdr:row>50</xdr:row>
      <xdr:rowOff>0</xdr:rowOff>
    </xdr:to>
    <xdr:graphicFrame macro="">
      <xdr:nvGraphicFramePr>
        <xdr:cNvPr id="50244" name="Gráfico 2">
          <a:extLst>
            <a:ext uri="{FF2B5EF4-FFF2-40B4-BE49-F238E27FC236}">
              <a16:creationId xmlns:a16="http://schemas.microsoft.com/office/drawing/2014/main" id="{3ABA77EF-8A47-D966-D1DE-FF7C4DC11E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542925</xdr:colOff>
      <xdr:row>53</xdr:row>
      <xdr:rowOff>0</xdr:rowOff>
    </xdr:from>
    <xdr:to>
      <xdr:col>5</xdr:col>
      <xdr:colOff>0</xdr:colOff>
      <xdr:row>64</xdr:row>
      <xdr:rowOff>47625</xdr:rowOff>
    </xdr:to>
    <xdr:graphicFrame macro="">
      <xdr:nvGraphicFramePr>
        <xdr:cNvPr id="50245" name="Gráfico 2">
          <a:extLst>
            <a:ext uri="{FF2B5EF4-FFF2-40B4-BE49-F238E27FC236}">
              <a16:creationId xmlns:a16="http://schemas.microsoft.com/office/drawing/2014/main" id="{52E456CD-3D09-2BA6-1994-0C24C82106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9525</xdr:colOff>
      <xdr:row>24</xdr:row>
      <xdr:rowOff>0</xdr:rowOff>
    </xdr:from>
    <xdr:to>
      <xdr:col>5</xdr:col>
      <xdr:colOff>9525</xdr:colOff>
      <xdr:row>36</xdr:row>
      <xdr:rowOff>0</xdr:rowOff>
    </xdr:to>
    <xdr:graphicFrame macro="">
      <xdr:nvGraphicFramePr>
        <xdr:cNvPr id="50246" name="Gráfico 14">
          <a:extLst>
            <a:ext uri="{FF2B5EF4-FFF2-40B4-BE49-F238E27FC236}">
              <a16:creationId xmlns:a16="http://schemas.microsoft.com/office/drawing/2014/main" id="{F88518D3-F4D8-E2C6-F522-EC8AC4463C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8</xdr:col>
      <xdr:colOff>28576</xdr:colOff>
      <xdr:row>9</xdr:row>
      <xdr:rowOff>47624</xdr:rowOff>
    </xdr:from>
    <xdr:to>
      <xdr:col>12</xdr:col>
      <xdr:colOff>422052</xdr:colOff>
      <xdr:row>22</xdr:row>
      <xdr:rowOff>247650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DC3FD74-512C-4156-F771-E04D09807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934451" y="2314574"/>
          <a:ext cx="3441476" cy="32956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indexed="18"/>
  </sheetPr>
  <dimension ref="A1:F14"/>
  <sheetViews>
    <sheetView zoomScaleNormal="100" workbookViewId="0">
      <selection activeCell="E5" sqref="E5"/>
    </sheetView>
  </sheetViews>
  <sheetFormatPr baseColWidth="10" defaultColWidth="11.44140625" defaultRowHeight="17.399999999999999" x14ac:dyDescent="0.4"/>
  <cols>
    <col min="1" max="1" width="2.109375" style="1" customWidth="1"/>
    <col min="2" max="2" width="20.109375" style="2" customWidth="1"/>
    <col min="3" max="3" width="10.88671875" style="2" customWidth="1"/>
    <col min="4" max="4" width="10.44140625" style="2" customWidth="1"/>
    <col min="5" max="5" width="102.33203125" style="2" customWidth="1"/>
    <col min="6" max="6" width="13.44140625" style="2" customWidth="1"/>
    <col min="7" max="16384" width="11.44140625" style="2"/>
  </cols>
  <sheetData>
    <row r="1" spans="1:6" ht="23.4" x14ac:dyDescent="0.55000000000000004">
      <c r="B1" s="79" t="s">
        <v>16</v>
      </c>
      <c r="C1" s="79"/>
      <c r="D1" s="79"/>
      <c r="E1" s="78"/>
    </row>
    <row r="3" spans="1:6" x14ac:dyDescent="0.4">
      <c r="A3" s="3"/>
      <c r="B3" s="4" t="s">
        <v>8</v>
      </c>
      <c r="C3" s="5" t="s">
        <v>9</v>
      </c>
      <c r="D3" s="5" t="s">
        <v>10</v>
      </c>
      <c r="E3" s="4" t="s">
        <v>11</v>
      </c>
    </row>
    <row r="4" spans="1:6" x14ac:dyDescent="0.4">
      <c r="A4" s="6">
        <v>1</v>
      </c>
      <c r="B4" s="7" t="s">
        <v>12</v>
      </c>
      <c r="C4" s="8">
        <v>40.700000000000003</v>
      </c>
      <c r="D4" s="9" t="s">
        <v>15</v>
      </c>
      <c r="E4" s="2" t="s">
        <v>14</v>
      </c>
    </row>
    <row r="5" spans="1:6" x14ac:dyDescent="0.4">
      <c r="A5" s="6">
        <v>2</v>
      </c>
      <c r="B5" s="7" t="s">
        <v>13</v>
      </c>
      <c r="C5" s="8">
        <v>-3.7</v>
      </c>
      <c r="D5" s="9" t="s">
        <v>15</v>
      </c>
      <c r="E5" s="2" t="s">
        <v>220</v>
      </c>
    </row>
    <row r="6" spans="1:6" x14ac:dyDescent="0.4">
      <c r="A6" s="6">
        <v>3</v>
      </c>
      <c r="B6" s="7" t="s">
        <v>132</v>
      </c>
      <c r="C6" s="8">
        <v>667</v>
      </c>
      <c r="D6" s="9" t="s">
        <v>133</v>
      </c>
      <c r="E6" s="2" t="s">
        <v>134</v>
      </c>
    </row>
    <row r="7" spans="1:6" x14ac:dyDescent="0.4">
      <c r="A7" s="6">
        <v>4</v>
      </c>
      <c r="B7" s="7" t="s">
        <v>175</v>
      </c>
      <c r="C7" s="8">
        <v>0</v>
      </c>
      <c r="D7" s="9" t="s">
        <v>15</v>
      </c>
      <c r="E7" s="2" t="s">
        <v>136</v>
      </c>
    </row>
    <row r="8" spans="1:6" x14ac:dyDescent="0.4">
      <c r="E8" s="10"/>
    </row>
    <row r="9" spans="1:6" x14ac:dyDescent="0.4">
      <c r="E9"/>
      <c r="F9" s="10"/>
    </row>
    <row r="13" spans="1:6" x14ac:dyDescent="0.4">
      <c r="F13"/>
    </row>
    <row r="14" spans="1:6" x14ac:dyDescent="0.4">
      <c r="E14"/>
    </row>
  </sheetData>
  <dataConsolidate/>
  <phoneticPr fontId="1" type="noConversion"/>
  <dataValidations count="5">
    <dataValidation type="decimal" allowBlank="1" showInputMessage="1" showErrorMessage="1" error="-180º&lt;=Longitude&lt;=180º" promptTitle="Longitude" prompt="Longitude of the location, negative towards West and positive towards Est." sqref="C5" xr:uid="{00000000-0002-0000-0000-000000000000}">
      <formula1>-180</formula1>
      <formula2>180</formula2>
    </dataValidation>
    <dataValidation type="decimal" allowBlank="1" showInputMessage="1" showErrorMessage="1" error="-90º&lt;=Latitude&lt;=90º" promptTitle="Latitude" prompt="Latitude of the location. Positive in the Northern Hemisphere and negative in the Southern Hemisphere." sqref="C4" xr:uid="{00000000-0002-0000-0000-000001000000}">
      <formula1>-90</formula1>
      <formula2>90</formula2>
    </dataValidation>
    <dataValidation type="whole" allowBlank="1" showInputMessage="1" showErrorMessage="1" sqref="A1" xr:uid="{00000000-0002-0000-0000-000003000000}">
      <formula1>7</formula1>
      <formula2>7</formula2>
    </dataValidation>
    <dataValidation type="decimal" allowBlank="1" showInputMessage="1" showErrorMessage="1" error="0&lt;=Altitude&lt;=10000" promptTitle="Altitude" prompt="Altitude of the location over sea level." sqref="C6" xr:uid="{5303EB7B-1A57-4BC6-AC23-E3AE401CC2A7}">
      <formula1>0</formula1>
      <formula2>8900</formula2>
    </dataValidation>
    <dataValidation type="whole" allowBlank="1" showInputMessage="1" showErrorMessage="1" promptTitle="Standard longitude" prompt="Negative towards West and positive towards East." sqref="C7" xr:uid="{C02765D6-6A4E-4904-8C19-C37FC14280AD}">
      <formula1>-90</formula1>
      <formula2>90</formula2>
    </dataValidation>
  </dataValidation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indexed="18"/>
  </sheetPr>
  <dimension ref="A1:L20"/>
  <sheetViews>
    <sheetView zoomScaleNormal="100" workbookViewId="0">
      <selection activeCell="D8" sqref="D8"/>
    </sheetView>
  </sheetViews>
  <sheetFormatPr baseColWidth="10" defaultRowHeight="13.2" x14ac:dyDescent="0.25"/>
  <cols>
    <col min="1" max="1" width="2.44140625" customWidth="1"/>
    <col min="2" max="2" width="12.88671875" customWidth="1"/>
    <col min="3" max="3" width="18.6640625" customWidth="1"/>
    <col min="4" max="4" width="12.33203125" customWidth="1"/>
    <col min="5" max="5" width="13" customWidth="1"/>
    <col min="6" max="6" width="9.88671875" customWidth="1"/>
    <col min="7" max="7" width="13.33203125" customWidth="1"/>
    <col min="8" max="8" width="61.6640625" customWidth="1"/>
    <col min="12" max="12" width="23.5546875" customWidth="1"/>
  </cols>
  <sheetData>
    <row r="1" spans="1:12" ht="23.4" x14ac:dyDescent="0.55000000000000004">
      <c r="A1" s="1"/>
      <c r="B1" s="79" t="s">
        <v>17</v>
      </c>
      <c r="C1" s="79"/>
      <c r="D1" s="79"/>
      <c r="E1" s="78"/>
      <c r="F1" s="82"/>
      <c r="G1" s="82"/>
      <c r="H1" s="82"/>
    </row>
    <row r="2" spans="1:12" ht="17.399999999999999" x14ac:dyDescent="0.4">
      <c r="A2" s="1"/>
      <c r="B2" s="2"/>
      <c r="C2" s="2"/>
      <c r="D2" s="2"/>
      <c r="E2" s="2"/>
    </row>
    <row r="3" spans="1:12" ht="17.399999999999999" x14ac:dyDescent="0.4">
      <c r="A3" s="3"/>
      <c r="B3" s="4" t="s">
        <v>8</v>
      </c>
      <c r="C3" s="5" t="s">
        <v>9</v>
      </c>
      <c r="D3" s="5" t="s">
        <v>10</v>
      </c>
      <c r="E3" s="4" t="s">
        <v>11</v>
      </c>
      <c r="F3" s="4"/>
      <c r="G3" s="4"/>
      <c r="H3" s="4"/>
      <c r="I3" s="25"/>
      <c r="J3" s="25"/>
      <c r="K3" s="25"/>
      <c r="L3" s="25"/>
    </row>
    <row r="4" spans="1:12" ht="17.399999999999999" x14ac:dyDescent="0.4">
      <c r="A4" s="6">
        <v>1</v>
      </c>
      <c r="B4" s="7" t="s">
        <v>176</v>
      </c>
      <c r="C4" s="8">
        <v>1</v>
      </c>
      <c r="D4" s="9"/>
      <c r="E4" s="7" t="s">
        <v>135</v>
      </c>
    </row>
    <row r="5" spans="1:12" ht="17.399999999999999" x14ac:dyDescent="0.4">
      <c r="A5" s="6">
        <v>2</v>
      </c>
      <c r="B5" s="7" t="s">
        <v>177</v>
      </c>
      <c r="C5" s="8">
        <v>1</v>
      </c>
      <c r="D5" s="9"/>
      <c r="E5" s="2" t="s">
        <v>216</v>
      </c>
    </row>
    <row r="6" spans="1:12" ht="17.399999999999999" x14ac:dyDescent="0.4">
      <c r="A6" s="6">
        <v>3</v>
      </c>
      <c r="B6" s="7"/>
      <c r="C6" s="8"/>
      <c r="D6" s="9"/>
      <c r="E6" s="2"/>
    </row>
    <row r="7" spans="1:12" ht="13.8" x14ac:dyDescent="0.3">
      <c r="A7" s="6">
        <v>4</v>
      </c>
    </row>
    <row r="8" spans="1:12" ht="19.2" x14ac:dyDescent="0.4">
      <c r="A8" s="6">
        <v>5</v>
      </c>
      <c r="B8" s="53" t="s">
        <v>98</v>
      </c>
      <c r="C8" s="54" t="s">
        <v>30</v>
      </c>
      <c r="D8" s="54" t="s">
        <v>29</v>
      </c>
      <c r="E8" s="55" t="s">
        <v>31</v>
      </c>
      <c r="G8" s="5" t="s">
        <v>8</v>
      </c>
    </row>
    <row r="9" spans="1:12" ht="18" x14ac:dyDescent="0.4">
      <c r="A9" s="6">
        <v>6</v>
      </c>
      <c r="B9" s="13" t="s">
        <v>18</v>
      </c>
      <c r="C9" s="14">
        <v>2080</v>
      </c>
      <c r="D9" s="14">
        <v>3</v>
      </c>
      <c r="E9" s="56">
        <v>10</v>
      </c>
      <c r="G9" s="83" t="s">
        <v>75</v>
      </c>
      <c r="H9" s="84" t="s">
        <v>131</v>
      </c>
    </row>
    <row r="10" spans="1:12" ht="17.399999999999999" x14ac:dyDescent="0.4">
      <c r="A10" s="6">
        <v>7</v>
      </c>
      <c r="B10" s="15" t="s">
        <v>19</v>
      </c>
      <c r="C10" s="8">
        <v>3130</v>
      </c>
      <c r="D10" s="8">
        <v>3.1</v>
      </c>
      <c r="E10" s="57">
        <v>12.7</v>
      </c>
      <c r="G10" s="83" t="s">
        <v>76</v>
      </c>
      <c r="H10" s="84" t="s">
        <v>217</v>
      </c>
    </row>
    <row r="11" spans="1:12" ht="17.399999999999999" x14ac:dyDescent="0.4">
      <c r="A11" s="6">
        <v>8</v>
      </c>
      <c r="B11" s="15" t="s">
        <v>20</v>
      </c>
      <c r="C11" s="8">
        <v>4690</v>
      </c>
      <c r="D11" s="8">
        <v>5.3</v>
      </c>
      <c r="E11" s="57">
        <v>16.3</v>
      </c>
      <c r="G11" s="83" t="s">
        <v>77</v>
      </c>
      <c r="H11" s="84" t="s">
        <v>130</v>
      </c>
    </row>
    <row r="12" spans="1:12" ht="17.399999999999999" x14ac:dyDescent="0.4">
      <c r="A12" s="6">
        <v>9</v>
      </c>
      <c r="B12" s="15" t="s">
        <v>21</v>
      </c>
      <c r="C12" s="8">
        <v>5600</v>
      </c>
      <c r="D12" s="8">
        <v>6.2</v>
      </c>
      <c r="E12" s="57">
        <v>17.8</v>
      </c>
    </row>
    <row r="13" spans="1:12" ht="17.399999999999999" x14ac:dyDescent="0.4">
      <c r="A13" s="6">
        <v>10</v>
      </c>
      <c r="B13" s="15" t="s">
        <v>180</v>
      </c>
      <c r="C13" s="8">
        <v>6640</v>
      </c>
      <c r="D13" s="8">
        <v>10.199999999999999</v>
      </c>
      <c r="E13" s="57">
        <v>22</v>
      </c>
    </row>
    <row r="14" spans="1:12" ht="17.399999999999999" x14ac:dyDescent="0.4">
      <c r="A14" s="6">
        <v>11</v>
      </c>
      <c r="B14" s="15" t="s">
        <v>22</v>
      </c>
      <c r="C14" s="8">
        <v>7670</v>
      </c>
      <c r="D14" s="8">
        <v>15.1</v>
      </c>
      <c r="E14" s="57">
        <v>29</v>
      </c>
    </row>
    <row r="15" spans="1:12" ht="17.399999999999999" x14ac:dyDescent="0.4">
      <c r="A15" s="6">
        <v>12</v>
      </c>
      <c r="B15" s="15" t="s">
        <v>23</v>
      </c>
      <c r="C15" s="8">
        <v>8030</v>
      </c>
      <c r="D15" s="8">
        <v>17</v>
      </c>
      <c r="E15" s="57">
        <v>31.7</v>
      </c>
    </row>
    <row r="16" spans="1:12" ht="17.399999999999999" x14ac:dyDescent="0.4">
      <c r="A16" s="6">
        <v>13</v>
      </c>
      <c r="B16" s="15" t="s">
        <v>24</v>
      </c>
      <c r="C16" s="8">
        <v>7000</v>
      </c>
      <c r="D16" s="8">
        <v>16.5</v>
      </c>
      <c r="E16" s="57">
        <v>31.2</v>
      </c>
    </row>
    <row r="17" spans="1:5" ht="17.399999999999999" x14ac:dyDescent="0.4">
      <c r="A17" s="6">
        <v>14</v>
      </c>
      <c r="B17" s="15" t="s">
        <v>25</v>
      </c>
      <c r="C17" s="8">
        <v>5370</v>
      </c>
      <c r="D17" s="8">
        <v>13.3</v>
      </c>
      <c r="E17" s="57">
        <v>26.1</v>
      </c>
    </row>
    <row r="18" spans="1:5" ht="17.399999999999999" x14ac:dyDescent="0.4">
      <c r="A18" s="6">
        <v>15</v>
      </c>
      <c r="B18" s="15" t="s">
        <v>26</v>
      </c>
      <c r="C18" s="8">
        <v>3700</v>
      </c>
      <c r="D18" s="8">
        <v>10.4</v>
      </c>
      <c r="E18" s="57">
        <v>20.2</v>
      </c>
    </row>
    <row r="19" spans="1:5" ht="17.399999999999999" x14ac:dyDescent="0.4">
      <c r="A19" s="6">
        <v>16</v>
      </c>
      <c r="B19" s="15" t="s">
        <v>27</v>
      </c>
      <c r="C19" s="8">
        <v>2390</v>
      </c>
      <c r="D19" s="8">
        <v>6.1</v>
      </c>
      <c r="E19" s="57">
        <v>13.3</v>
      </c>
    </row>
    <row r="20" spans="1:5" ht="17.399999999999999" x14ac:dyDescent="0.4">
      <c r="A20" s="6">
        <v>17</v>
      </c>
      <c r="B20" s="16" t="s">
        <v>28</v>
      </c>
      <c r="C20" s="17">
        <v>1910</v>
      </c>
      <c r="D20" s="17">
        <v>3.4</v>
      </c>
      <c r="E20" s="58">
        <v>10</v>
      </c>
    </row>
  </sheetData>
  <phoneticPr fontId="1" type="noConversion"/>
  <dataValidations xWindow="198" yWindow="344" count="7">
    <dataValidation type="decimal" allowBlank="1" showInputMessage="1" showErrorMessage="1" error="0&lt;=Altitude&lt;=10000" sqref="C6" xr:uid="{00000000-0002-0000-0100-000000000000}">
      <formula1>0</formula1>
      <formula2>8900</formula2>
    </dataValidation>
    <dataValidation type="whole" allowBlank="1" showInputMessage="1" showErrorMessage="1" promptTitle="Time series" prompt="Options:_x000a_1-Mean days_x000a_2-Aguiar" sqref="C5" xr:uid="{00000000-0002-0000-0100-000001000000}">
      <formula1>1</formula1>
      <formula2>2</formula2>
    </dataValidation>
    <dataValidation type="whole" allowBlank="1" showInputMessage="1" showErrorMessage="1" promptTitle="Input data" prompt="1-Monthly averages from the table below_x000a_2-Monthly averages obtained from PVGIS TMY_x000a_3-Hourly values from PVGIS TMY_x000a_4-Monthly averages obtained from USA-TMY3_x000a_5-Hourly values from USA-TMY3" sqref="C4" xr:uid="{00000000-0002-0000-0100-000002000000}">
      <formula1>1</formula1>
      <formula2>5</formula2>
    </dataValidation>
    <dataValidation allowBlank="1" showInputMessage="1" showErrorMessage="1" promptTitle="Gdm0" prompt="Mean daily irradiation, monthly average." sqref="C8" xr:uid="{00000000-0002-0000-0100-000003000000}"/>
    <dataValidation type="decimal" allowBlank="1" showInputMessage="1" showErrorMessage="1" errorTitle="Gdm0" error="0&lt;Gdm0&lt;10000" promptTitle="Gdm0" prompt="Mean daily irradiation, monthly average." sqref="C9:C20" xr:uid="{00000000-0002-0000-0100-000004000000}">
      <formula1>0</formula1>
      <formula2>10000</formula2>
    </dataValidation>
    <dataValidation type="decimal" allowBlank="1" showInputMessage="1" showErrorMessage="1" errorTitle="Tmm" error="-50ºC&lt;Tmm&lt;50ºC" promptTitle="Tmm" prompt="Minimum daily temperature, monthly average" sqref="D8:D20" xr:uid="{00000000-0002-0000-0100-000005000000}">
      <formula1>-50</formula1>
      <formula2>50</formula2>
    </dataValidation>
    <dataValidation type="decimal" allowBlank="1" showInputMessage="1" showErrorMessage="1" errorTitle="TMm" error="-50ºC&lt;TMm&lt;50ºC" promptTitle="TMm" prompt="Maximum daily temperature, monthly average" sqref="E8:E20" xr:uid="{00000000-0002-0000-0100-000006000000}">
      <formula1>-50</formula1>
      <formula2>50</formula2>
    </dataValidation>
  </dataValidations>
  <pageMargins left="0.75" right="0.75" top="1" bottom="1" header="0" footer="0"/>
  <pageSetup paperSize="9" orientation="portrait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indexed="18"/>
  </sheetPr>
  <dimension ref="A1:O24"/>
  <sheetViews>
    <sheetView tabSelected="1" zoomScale="85" zoomScaleNormal="85" workbookViewId="0">
      <selection activeCell="B6" sqref="B6"/>
    </sheetView>
  </sheetViews>
  <sheetFormatPr baseColWidth="10" defaultRowHeight="13.2" x14ac:dyDescent="0.25"/>
  <cols>
    <col min="1" max="1" width="2.44140625" customWidth="1"/>
    <col min="2" max="2" width="25.77734375" bestFit="1" customWidth="1"/>
    <col min="3" max="3" width="20.88671875" bestFit="1" customWidth="1"/>
    <col min="4" max="4" width="12" customWidth="1"/>
    <col min="5" max="5" width="202.6640625" bestFit="1" customWidth="1"/>
    <col min="6" max="6" width="11.44140625" customWidth="1"/>
    <col min="12" max="12" width="11.44140625" customWidth="1"/>
    <col min="15" max="15" width="13.88671875" customWidth="1"/>
  </cols>
  <sheetData>
    <row r="1" spans="1:15" ht="23.4" x14ac:dyDescent="0.55000000000000004">
      <c r="A1" s="1"/>
      <c r="B1" s="79" t="s">
        <v>79</v>
      </c>
      <c r="C1" s="79"/>
      <c r="D1" s="79"/>
      <c r="E1" s="78"/>
      <c r="F1" s="82"/>
      <c r="G1" s="82"/>
      <c r="H1" s="82"/>
      <c r="I1" s="82"/>
      <c r="J1" s="82"/>
      <c r="K1" s="82"/>
      <c r="L1" s="82"/>
      <c r="M1" s="82"/>
      <c r="N1" s="82"/>
      <c r="O1" s="82"/>
    </row>
    <row r="2" spans="1:15" ht="17.399999999999999" x14ac:dyDescent="0.4">
      <c r="A2" s="1"/>
      <c r="B2" s="2"/>
      <c r="C2" s="2"/>
      <c r="D2" s="2"/>
      <c r="E2" s="2"/>
    </row>
    <row r="3" spans="1:15" ht="17.399999999999999" x14ac:dyDescent="0.4">
      <c r="A3" s="3"/>
      <c r="B3" s="4" t="s">
        <v>8</v>
      </c>
      <c r="C3" s="5" t="s">
        <v>9</v>
      </c>
      <c r="D3" s="5" t="s">
        <v>10</v>
      </c>
      <c r="E3" s="4" t="s">
        <v>11</v>
      </c>
      <c r="F3" s="4"/>
      <c r="G3" s="4"/>
      <c r="H3" s="4"/>
      <c r="I3" s="4"/>
      <c r="J3" s="4"/>
      <c r="K3" s="4"/>
      <c r="L3" s="4"/>
      <c r="M3" s="82"/>
      <c r="N3" s="82"/>
      <c r="O3" s="82"/>
    </row>
    <row r="4" spans="1:15" ht="17.399999999999999" x14ac:dyDescent="0.4">
      <c r="A4" s="6">
        <v>1</v>
      </c>
      <c r="B4" s="109" t="s">
        <v>296</v>
      </c>
      <c r="C4" s="110">
        <v>1</v>
      </c>
      <c r="D4" s="110"/>
      <c r="E4" s="109" t="s">
        <v>316</v>
      </c>
    </row>
    <row r="5" spans="1:15" ht="17.399999999999999" x14ac:dyDescent="0.4">
      <c r="A5" s="6">
        <v>2</v>
      </c>
      <c r="B5" s="109" t="s">
        <v>257</v>
      </c>
      <c r="C5" s="111" t="s">
        <v>254</v>
      </c>
      <c r="D5" s="110"/>
      <c r="E5" s="109" t="s">
        <v>255</v>
      </c>
      <c r="F5" s="2"/>
    </row>
    <row r="6" spans="1:15" ht="17.399999999999999" x14ac:dyDescent="0.4">
      <c r="A6" s="6">
        <v>3</v>
      </c>
      <c r="B6" s="109" t="s">
        <v>317</v>
      </c>
      <c r="C6" s="110">
        <v>10</v>
      </c>
      <c r="D6" s="110"/>
      <c r="E6" s="109" t="s">
        <v>256</v>
      </c>
      <c r="F6" s="2"/>
    </row>
    <row r="7" spans="1:15" ht="18" x14ac:dyDescent="0.45">
      <c r="A7" s="6">
        <v>4</v>
      </c>
      <c r="B7" s="7" t="s">
        <v>78</v>
      </c>
      <c r="C7" s="8">
        <v>10</v>
      </c>
      <c r="D7" s="19" t="s">
        <v>4</v>
      </c>
      <c r="E7" s="7" t="s">
        <v>264</v>
      </c>
      <c r="F7" s="2"/>
    </row>
    <row r="8" spans="1:15" ht="19.2" x14ac:dyDescent="0.4">
      <c r="A8" s="6">
        <v>5</v>
      </c>
      <c r="B8" s="2" t="s">
        <v>2</v>
      </c>
      <c r="C8" s="8">
        <v>0.5</v>
      </c>
      <c r="D8" s="9" t="s">
        <v>50</v>
      </c>
      <c r="E8" s="2" t="s">
        <v>82</v>
      </c>
      <c r="F8" s="2"/>
    </row>
    <row r="9" spans="1:15" ht="17.399999999999999" x14ac:dyDescent="0.4">
      <c r="A9" s="6">
        <v>6</v>
      </c>
      <c r="B9" s="2" t="s">
        <v>3</v>
      </c>
      <c r="C9" s="8">
        <v>48</v>
      </c>
      <c r="D9" s="9" t="s">
        <v>1</v>
      </c>
      <c r="E9" s="2" t="s">
        <v>32</v>
      </c>
      <c r="F9" s="4"/>
      <c r="G9" s="4"/>
      <c r="H9" s="4"/>
      <c r="I9" s="4"/>
      <c r="J9" s="4"/>
      <c r="K9" s="4"/>
      <c r="L9" s="4"/>
      <c r="M9" s="82"/>
      <c r="N9" s="82"/>
      <c r="O9" s="82"/>
    </row>
    <row r="10" spans="1:15" ht="15.75" customHeight="1" x14ac:dyDescent="0.4">
      <c r="A10" s="6">
        <v>7</v>
      </c>
      <c r="B10" s="2" t="s">
        <v>170</v>
      </c>
      <c r="C10" s="8">
        <f>(C9-20)/800</f>
        <v>3.5000000000000003E-2</v>
      </c>
      <c r="D10" s="9" t="s">
        <v>171</v>
      </c>
      <c r="E10" s="2" t="s">
        <v>172</v>
      </c>
    </row>
    <row r="11" spans="1:15" ht="15.75" customHeight="1" x14ac:dyDescent="0.4">
      <c r="A11" s="6">
        <v>8</v>
      </c>
      <c r="B11" s="4" t="s">
        <v>181</v>
      </c>
      <c r="C11" s="5"/>
      <c r="D11" s="5"/>
      <c r="E11" s="4"/>
    </row>
    <row r="12" spans="1:15" ht="17.399999999999999" x14ac:dyDescent="0.4">
      <c r="A12" s="6">
        <v>9</v>
      </c>
      <c r="B12" s="2" t="s">
        <v>184</v>
      </c>
      <c r="C12" s="8">
        <v>1</v>
      </c>
      <c r="E12" s="2" t="s">
        <v>186</v>
      </c>
      <c r="F12" s="25"/>
      <c r="G12" s="25"/>
      <c r="H12" s="25"/>
      <c r="I12" s="25"/>
      <c r="J12" s="25"/>
      <c r="K12" s="25"/>
      <c r="L12" s="25"/>
    </row>
    <row r="13" spans="1:15" ht="17.399999999999999" x14ac:dyDescent="0.4">
      <c r="A13" s="6">
        <v>10</v>
      </c>
      <c r="B13" s="2"/>
      <c r="C13" s="8"/>
      <c r="E13" s="2"/>
      <c r="F13" s="2"/>
    </row>
    <row r="14" spans="1:15" ht="17.399999999999999" x14ac:dyDescent="0.4">
      <c r="A14" s="6">
        <v>11</v>
      </c>
      <c r="B14" s="104" t="s">
        <v>188</v>
      </c>
      <c r="C14" s="12"/>
      <c r="D14" s="12"/>
      <c r="E14" s="25"/>
      <c r="F14" s="2"/>
    </row>
    <row r="15" spans="1:15" ht="17.399999999999999" x14ac:dyDescent="0.4">
      <c r="A15" s="6">
        <v>12</v>
      </c>
      <c r="B15" s="2" t="s">
        <v>182</v>
      </c>
      <c r="C15" s="8">
        <v>35</v>
      </c>
      <c r="D15" s="9" t="s">
        <v>15</v>
      </c>
      <c r="E15" s="2" t="s">
        <v>80</v>
      </c>
      <c r="F15" s="2"/>
    </row>
    <row r="16" spans="1:15" ht="18.75" customHeight="1" x14ac:dyDescent="0.4">
      <c r="A16" s="6">
        <v>13</v>
      </c>
      <c r="B16" s="2" t="s">
        <v>183</v>
      </c>
      <c r="C16" s="8">
        <v>0</v>
      </c>
      <c r="D16" s="9" t="s">
        <v>15</v>
      </c>
      <c r="E16" s="2" t="s">
        <v>81</v>
      </c>
      <c r="F16" s="25"/>
      <c r="G16" s="25"/>
      <c r="H16" s="25"/>
      <c r="I16" s="25"/>
      <c r="J16" s="25"/>
      <c r="K16" s="25"/>
      <c r="L16" s="25"/>
    </row>
    <row r="17" spans="1:12" ht="17.399999999999999" x14ac:dyDescent="0.4">
      <c r="A17" s="6">
        <v>14</v>
      </c>
      <c r="B17" s="2"/>
      <c r="C17" s="8"/>
      <c r="D17" s="9"/>
      <c r="E17" s="2"/>
    </row>
    <row r="18" spans="1:12" ht="17.399999999999999" x14ac:dyDescent="0.4">
      <c r="A18" s="6">
        <v>15</v>
      </c>
      <c r="B18" s="104" t="s">
        <v>189</v>
      </c>
      <c r="C18" s="12"/>
      <c r="D18" s="12"/>
      <c r="E18" s="25"/>
    </row>
    <row r="19" spans="1:12" ht="17.399999999999999" x14ac:dyDescent="0.4">
      <c r="A19" s="6">
        <v>16</v>
      </c>
      <c r="B19" s="2" t="s">
        <v>182</v>
      </c>
      <c r="C19" s="8">
        <v>45</v>
      </c>
      <c r="D19" s="9" t="s">
        <v>15</v>
      </c>
      <c r="E19" s="2" t="s">
        <v>185</v>
      </c>
      <c r="F19" s="25"/>
      <c r="G19" s="25"/>
      <c r="H19" s="25"/>
      <c r="I19" s="25"/>
      <c r="J19" s="25"/>
      <c r="K19" s="25"/>
      <c r="L19" s="25"/>
    </row>
    <row r="20" spans="1:12" ht="17.399999999999999" x14ac:dyDescent="0.4">
      <c r="A20" s="6">
        <v>17</v>
      </c>
      <c r="B20" s="2"/>
      <c r="C20" s="8"/>
      <c r="D20" s="9"/>
      <c r="E20" s="2"/>
    </row>
    <row r="21" spans="1:12" ht="17.399999999999999" x14ac:dyDescent="0.4">
      <c r="A21" s="6">
        <v>18</v>
      </c>
      <c r="B21" s="104" t="s">
        <v>187</v>
      </c>
      <c r="C21" s="12"/>
      <c r="D21" s="12"/>
      <c r="E21" s="25"/>
    </row>
    <row r="22" spans="1:12" ht="17.399999999999999" x14ac:dyDescent="0.4">
      <c r="A22" s="6">
        <v>19</v>
      </c>
      <c r="B22" s="2" t="s">
        <v>182</v>
      </c>
      <c r="C22" s="8">
        <v>40</v>
      </c>
      <c r="D22" s="9" t="s">
        <v>15</v>
      </c>
      <c r="E22" s="2" t="s">
        <v>80</v>
      </c>
    </row>
    <row r="23" spans="1:12" ht="17.399999999999999" x14ac:dyDescent="0.4">
      <c r="A23" s="6">
        <v>20</v>
      </c>
      <c r="B23" s="4" t="s">
        <v>262</v>
      </c>
      <c r="C23" s="5"/>
      <c r="D23" s="5"/>
      <c r="E23" s="4"/>
    </row>
    <row r="24" spans="1:12" ht="17.399999999999999" x14ac:dyDescent="0.4">
      <c r="A24" s="6">
        <v>21</v>
      </c>
      <c r="B24" s="2" t="s">
        <v>295</v>
      </c>
      <c r="C24" s="8">
        <v>0.2</v>
      </c>
      <c r="D24" s="9"/>
      <c r="E24" s="2" t="s">
        <v>261</v>
      </c>
    </row>
  </sheetData>
  <phoneticPr fontId="1" type="noConversion"/>
  <dataValidations count="7">
    <dataValidation type="decimal" allowBlank="1" showInputMessage="1" showErrorMessage="1" error="1&lt;=CellMaterial&lt;=5" promptTitle="Nominal PV power" prompt="Nominal PV power" sqref="C7" xr:uid="{00000000-0002-0000-0200-000001000000}">
      <formula1>0</formula1>
      <formula2>10000000</formula2>
    </dataValidation>
    <dataValidation type="decimal" allowBlank="1" showInputMessage="1" showErrorMessage="1" errorTitle="CVPT" error="0&lt;CVPT&lt;1" promptTitle="CVPT" prompt="Coefficient of Variation of module Power with Temperature (absolute value)." sqref="C8" xr:uid="{00000000-0002-0000-0200-000003000000}">
      <formula1>0</formula1>
      <formula2>1</formula2>
    </dataValidation>
    <dataValidation type="decimal" allowBlank="1" showInputMessage="1" showErrorMessage="1" errorTitle="NOCT" error="20ºC&lt;NOCT&lt;60ºC" promptTitle="NOCT" prompt="Nominal Operation Cell Temperature" sqref="C9" xr:uid="{00000000-0002-0000-0200-000004000000}">
      <formula1>20</formula1>
      <formula2>60</formula2>
    </dataValidation>
    <dataValidation type="decimal" allowBlank="1" showInputMessage="1" showErrorMessage="1" error="From 0º to 90º" promptTitle="Inclination" prompt="Inclination of the modules regarding the horizontal, from 0º to 90º." sqref="C15 C19:C20 C22" xr:uid="{A1269598-3EA7-4C69-9DD9-28518B6029E8}">
      <formula1>0</formula1>
      <formula2>90</formula2>
    </dataValidation>
    <dataValidation type="decimal" allowBlank="1" showInputMessage="1" showErrorMessage="1" promptTitle="Orientation" prompt="Orientation of the modules towards the Equator_x000a_Zero towards the South in the Northern Hemisphere (North in the Southern Hemisphere), negative towards the East, and positive towards the West." sqref="C16:C17" xr:uid="{F96A0897-684A-4BA2-84A3-C4C33319170C}">
      <formula1>-90</formula1>
      <formula2>90</formula2>
    </dataValidation>
    <dataValidation type="whole" allowBlank="1" showInputMessage="1" showErrorMessage="1" errorTitle="Struct" error="1&lt;=Value&lt;=8" promptTitle="Mounting structure" prompt="1-Static: ground or roof_x000a_2-Static: delta_x000a_3-Tracker: One axis N-S horizontal_x000a_4-Tracker: One axis vertical (azimutal)_x000a_5-Tracker: Two axis" sqref="C12:C13" xr:uid="{011E5A39-1A4C-4AE9-84F6-B52724420A68}">
      <formula1>1</formula1>
      <formula2>5</formula2>
    </dataValidation>
    <dataValidation type="whole" allowBlank="1" showInputMessage="1" errorTitle="Struct" error="1&lt;=Value&lt;=8" promptTitle="Structure" prompt="1-Ground or roof_x000a_2-Façade_x000a_3-One axis horizontal_x000a_4-One axis vertical_x000a_5-Two axis (Vertical-Horizontal)_x000a_6-Two axis (Venetian blind)_x000a_7-Two axis (Horizontal-Perpendicular)_x000a_8-Concentrator_x000a__x000a__x000a__x000a_" sqref="E12:E13" xr:uid="{3D17DA32-C58D-40EB-B230-F4FA7AAEEE79}">
      <formula1>1</formula1>
      <formula2>8</formula2>
    </dataValidation>
  </dataValidations>
  <pageMargins left="0.75" right="0.75" top="1" bottom="1" header="0" footer="0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>
    <tabColor indexed="18"/>
  </sheetPr>
  <dimension ref="A1:E81"/>
  <sheetViews>
    <sheetView topLeftCell="A2" zoomScaleNormal="100" workbookViewId="0">
      <selection activeCell="B4" sqref="B4:B5"/>
    </sheetView>
  </sheetViews>
  <sheetFormatPr baseColWidth="10" defaultRowHeight="13.2" x14ac:dyDescent="0.25"/>
  <cols>
    <col min="1" max="1" width="2.6640625" customWidth="1"/>
    <col min="2" max="2" width="20.5546875" customWidth="1"/>
    <col min="3" max="3" width="71.44140625" bestFit="1" customWidth="1"/>
    <col min="4" max="4" width="8.33203125" customWidth="1"/>
    <col min="5" max="5" width="67.88671875" bestFit="1" customWidth="1"/>
  </cols>
  <sheetData>
    <row r="1" spans="1:5" ht="23.4" x14ac:dyDescent="0.55000000000000004">
      <c r="B1" s="79" t="s">
        <v>35</v>
      </c>
      <c r="C1" s="79"/>
      <c r="D1" s="81"/>
      <c r="E1" s="78"/>
    </row>
    <row r="2" spans="1:5" ht="18" x14ac:dyDescent="0.45">
      <c r="B2" s="25"/>
      <c r="C2" s="12"/>
      <c r="D2" s="26"/>
      <c r="E2" s="25"/>
    </row>
    <row r="3" spans="1:5" ht="17.399999999999999" x14ac:dyDescent="0.4">
      <c r="B3" s="4" t="s">
        <v>49</v>
      </c>
      <c r="C3" s="5" t="s">
        <v>9</v>
      </c>
      <c r="D3" s="5" t="s">
        <v>10</v>
      </c>
      <c r="E3" s="4" t="s">
        <v>11</v>
      </c>
    </row>
    <row r="4" spans="1:5" ht="17.399999999999999" x14ac:dyDescent="0.4">
      <c r="A4" s="24">
        <v>1</v>
      </c>
      <c r="B4" s="109" t="s">
        <v>297</v>
      </c>
      <c r="C4" s="110">
        <v>1</v>
      </c>
      <c r="D4" s="110"/>
      <c r="E4" s="109" t="s">
        <v>316</v>
      </c>
    </row>
    <row r="5" spans="1:5" ht="17.399999999999999" x14ac:dyDescent="0.4">
      <c r="A5" s="24">
        <v>2</v>
      </c>
      <c r="B5" s="109" t="s">
        <v>298</v>
      </c>
      <c r="C5" s="111" t="s">
        <v>293</v>
      </c>
      <c r="D5" s="110"/>
      <c r="E5" s="109" t="s">
        <v>258</v>
      </c>
    </row>
    <row r="6" spans="1:5" ht="17.399999999999999" x14ac:dyDescent="0.45">
      <c r="A6" s="24">
        <v>3</v>
      </c>
      <c r="B6" s="22" t="s">
        <v>111</v>
      </c>
      <c r="C6" s="20">
        <v>8</v>
      </c>
      <c r="D6" s="23" t="s">
        <v>5</v>
      </c>
      <c r="E6" s="27" t="s">
        <v>36</v>
      </c>
    </row>
    <row r="7" spans="1:5" ht="18.75" customHeight="1" x14ac:dyDescent="0.45">
      <c r="A7" s="24">
        <v>4</v>
      </c>
      <c r="B7" s="22" t="s">
        <v>112</v>
      </c>
      <c r="C7" s="20">
        <v>8</v>
      </c>
      <c r="D7" s="23" t="s">
        <v>5</v>
      </c>
      <c r="E7" s="2" t="s">
        <v>37</v>
      </c>
    </row>
    <row r="8" spans="1:5" ht="18" x14ac:dyDescent="0.45">
      <c r="A8" s="24">
        <v>5</v>
      </c>
      <c r="B8" s="22" t="s">
        <v>178</v>
      </c>
      <c r="C8" s="20">
        <v>1</v>
      </c>
      <c r="D8" s="23" t="s">
        <v>7</v>
      </c>
      <c r="E8" s="2" t="s">
        <v>86</v>
      </c>
    </row>
    <row r="9" spans="1:5" ht="18" x14ac:dyDescent="0.45">
      <c r="A9" s="24">
        <v>6</v>
      </c>
      <c r="B9" s="4" t="s">
        <v>46</v>
      </c>
      <c r="C9" s="20"/>
      <c r="D9" s="23"/>
      <c r="E9" s="2"/>
    </row>
    <row r="10" spans="1:5" ht="17.399999999999999" x14ac:dyDescent="0.45">
      <c r="A10" s="24">
        <v>7</v>
      </c>
      <c r="B10" s="29" t="s">
        <v>83</v>
      </c>
      <c r="C10" s="20">
        <v>0.01</v>
      </c>
      <c r="D10" s="23" t="s">
        <v>7</v>
      </c>
      <c r="E10" s="27" t="s">
        <v>38</v>
      </c>
    </row>
    <row r="11" spans="1:5" ht="18" x14ac:dyDescent="0.45">
      <c r="A11" s="24">
        <v>8</v>
      </c>
      <c r="B11" s="29" t="s">
        <v>84</v>
      </c>
      <c r="C11" s="20">
        <v>0.05</v>
      </c>
      <c r="D11" s="23" t="s">
        <v>7</v>
      </c>
      <c r="E11" s="2" t="s">
        <v>39</v>
      </c>
    </row>
    <row r="12" spans="1:5" ht="17.25" customHeight="1" x14ac:dyDescent="0.45">
      <c r="A12" s="24">
        <v>9</v>
      </c>
      <c r="B12" s="29" t="s">
        <v>85</v>
      </c>
      <c r="C12" s="20">
        <v>0.08</v>
      </c>
      <c r="D12" s="19" t="s">
        <v>7</v>
      </c>
      <c r="E12" s="2" t="s">
        <v>40</v>
      </c>
    </row>
    <row r="13" spans="1:5" ht="17.25" customHeight="1" x14ac:dyDescent="0.45">
      <c r="A13" s="24">
        <v>10</v>
      </c>
      <c r="B13" s="4" t="s">
        <v>87</v>
      </c>
      <c r="C13" s="4"/>
      <c r="D13" s="19"/>
      <c r="E13" s="2"/>
    </row>
    <row r="14" spans="1:5" ht="17.25" customHeight="1" x14ac:dyDescent="0.45">
      <c r="A14" s="24">
        <v>11</v>
      </c>
      <c r="B14" s="36" t="s">
        <v>113</v>
      </c>
      <c r="C14" s="36" t="s">
        <v>47</v>
      </c>
      <c r="D14" s="19"/>
      <c r="E14" s="2"/>
    </row>
    <row r="15" spans="1:5" ht="18" x14ac:dyDescent="0.45">
      <c r="A15" s="24">
        <v>12</v>
      </c>
      <c r="B15" s="30">
        <v>0</v>
      </c>
      <c r="C15" s="34">
        <v>0</v>
      </c>
      <c r="D15" s="19"/>
      <c r="E15" s="2"/>
    </row>
    <row r="16" spans="1:5" ht="18" x14ac:dyDescent="0.45">
      <c r="A16" s="24">
        <v>13</v>
      </c>
      <c r="B16" s="31">
        <v>0.1</v>
      </c>
      <c r="C16" s="35">
        <v>94.2</v>
      </c>
      <c r="D16" s="19"/>
      <c r="E16" s="2"/>
    </row>
    <row r="17" spans="1:5" ht="18" x14ac:dyDescent="0.45">
      <c r="A17" s="24">
        <v>14</v>
      </c>
      <c r="B17" s="31">
        <v>0.25</v>
      </c>
      <c r="C17" s="35">
        <v>96.4</v>
      </c>
      <c r="D17" s="19"/>
      <c r="E17" s="2"/>
    </row>
    <row r="18" spans="1:5" ht="18" x14ac:dyDescent="0.45">
      <c r="A18" s="24">
        <v>15</v>
      </c>
      <c r="B18" s="31">
        <v>0.5</v>
      </c>
      <c r="C18" s="35">
        <v>96.7</v>
      </c>
      <c r="D18" s="19"/>
      <c r="E18" s="2"/>
    </row>
    <row r="19" spans="1:5" ht="18" x14ac:dyDescent="0.45">
      <c r="A19" s="24">
        <v>16</v>
      </c>
      <c r="B19" s="31">
        <v>0.75</v>
      </c>
      <c r="C19" s="35">
        <v>96.4</v>
      </c>
      <c r="D19" s="19"/>
      <c r="E19" s="2"/>
    </row>
    <row r="20" spans="1:5" ht="18" x14ac:dyDescent="0.45">
      <c r="A20" s="24">
        <v>17</v>
      </c>
      <c r="B20" s="32">
        <v>1</v>
      </c>
      <c r="C20" s="41">
        <v>96.2</v>
      </c>
      <c r="D20" s="19"/>
      <c r="E20" s="2"/>
    </row>
    <row r="41" spans="4:4" ht="15" x14ac:dyDescent="0.35">
      <c r="D41" s="11"/>
    </row>
    <row r="42" spans="4:4" ht="15" x14ac:dyDescent="0.35">
      <c r="D42" s="11"/>
    </row>
    <row r="43" spans="4:4" ht="15" x14ac:dyDescent="0.35">
      <c r="D43" s="11"/>
    </row>
    <row r="44" spans="4:4" ht="15" x14ac:dyDescent="0.35">
      <c r="D44" s="11"/>
    </row>
    <row r="45" spans="4:4" ht="15" x14ac:dyDescent="0.35">
      <c r="D45" s="11"/>
    </row>
    <row r="46" spans="4:4" ht="15" x14ac:dyDescent="0.35">
      <c r="D46" s="11"/>
    </row>
    <row r="47" spans="4:4" ht="15" x14ac:dyDescent="0.35">
      <c r="D47" s="11"/>
    </row>
    <row r="48" spans="4:4" ht="15" x14ac:dyDescent="0.35">
      <c r="D48" s="11"/>
    </row>
    <row r="49" spans="4:4" ht="15" x14ac:dyDescent="0.35">
      <c r="D49" s="11"/>
    </row>
    <row r="50" spans="4:4" ht="15" x14ac:dyDescent="0.35">
      <c r="D50" s="11"/>
    </row>
    <row r="51" spans="4:4" ht="15" x14ac:dyDescent="0.35">
      <c r="D51" s="11"/>
    </row>
    <row r="52" spans="4:4" ht="15" x14ac:dyDescent="0.35">
      <c r="D52" s="11"/>
    </row>
    <row r="53" spans="4:4" ht="15" x14ac:dyDescent="0.35">
      <c r="D53" s="11"/>
    </row>
    <row r="54" spans="4:4" ht="15" x14ac:dyDescent="0.35">
      <c r="D54" s="11"/>
    </row>
    <row r="55" spans="4:4" ht="15" x14ac:dyDescent="0.35">
      <c r="D55" s="11"/>
    </row>
    <row r="56" spans="4:4" ht="15" x14ac:dyDescent="0.35">
      <c r="D56" s="11"/>
    </row>
    <row r="57" spans="4:4" ht="15" x14ac:dyDescent="0.35">
      <c r="D57" s="11"/>
    </row>
    <row r="58" spans="4:4" ht="15" x14ac:dyDescent="0.35">
      <c r="D58" s="11"/>
    </row>
    <row r="59" spans="4:4" ht="15" x14ac:dyDescent="0.35">
      <c r="D59" s="11"/>
    </row>
    <row r="60" spans="4:4" ht="15" x14ac:dyDescent="0.35">
      <c r="D60" s="11"/>
    </row>
    <row r="61" spans="4:4" ht="15" x14ac:dyDescent="0.35">
      <c r="D61" s="11"/>
    </row>
    <row r="62" spans="4:4" ht="15" x14ac:dyDescent="0.35">
      <c r="D62" s="11"/>
    </row>
    <row r="63" spans="4:4" ht="15" x14ac:dyDescent="0.35">
      <c r="D63" s="11"/>
    </row>
    <row r="64" spans="4:4" ht="15" x14ac:dyDescent="0.35">
      <c r="D64" s="11"/>
    </row>
    <row r="65" spans="4:4" ht="15" x14ac:dyDescent="0.35">
      <c r="D65" s="11"/>
    </row>
    <row r="66" spans="4:4" ht="15" x14ac:dyDescent="0.35">
      <c r="D66" s="11"/>
    </row>
    <row r="67" spans="4:4" ht="15" x14ac:dyDescent="0.35">
      <c r="D67" s="11"/>
    </row>
    <row r="68" spans="4:4" ht="15" x14ac:dyDescent="0.35">
      <c r="D68" s="11"/>
    </row>
    <row r="69" spans="4:4" ht="15" x14ac:dyDescent="0.35">
      <c r="D69" s="11"/>
    </row>
    <row r="70" spans="4:4" ht="15" x14ac:dyDescent="0.35">
      <c r="D70" s="11"/>
    </row>
    <row r="71" spans="4:4" ht="15" x14ac:dyDescent="0.35">
      <c r="D71" s="11"/>
    </row>
    <row r="72" spans="4:4" ht="15" x14ac:dyDescent="0.35">
      <c r="D72" s="11"/>
    </row>
    <row r="73" spans="4:4" ht="15" x14ac:dyDescent="0.35">
      <c r="D73" s="11"/>
    </row>
    <row r="74" spans="4:4" ht="15" x14ac:dyDescent="0.35">
      <c r="D74" s="11"/>
    </row>
    <row r="75" spans="4:4" ht="15" x14ac:dyDescent="0.35">
      <c r="D75" s="11"/>
    </row>
    <row r="76" spans="4:4" ht="15" x14ac:dyDescent="0.35">
      <c r="D76" s="11"/>
    </row>
    <row r="77" spans="4:4" ht="15" x14ac:dyDescent="0.35">
      <c r="D77" s="11"/>
    </row>
    <row r="78" spans="4:4" ht="15" x14ac:dyDescent="0.35">
      <c r="D78" s="11"/>
    </row>
    <row r="79" spans="4:4" ht="15" x14ac:dyDescent="0.35">
      <c r="D79" s="11"/>
    </row>
    <row r="80" spans="4:4" ht="15" x14ac:dyDescent="0.35">
      <c r="D80" s="11"/>
    </row>
    <row r="81" spans="4:4" ht="15" x14ac:dyDescent="0.35">
      <c r="D81" s="11"/>
    </row>
  </sheetData>
  <phoneticPr fontId="1" type="noConversion"/>
  <dataValidations count="5">
    <dataValidation type="whole" allowBlank="1" showInputMessage="1" showErrorMessage="1" errorTitle="Values" error="1 or 2" promptTitle="Definition of the efficiency" prompt="1. Model parameters (k0, k1 and k2)._x000a_2. Points of the power efficiency curve._x000a_(The program calculates k0, k1 and k2 using the power efficiency points indicated in the table)." sqref="C8" xr:uid="{00000000-0002-0000-0C00-000000000000}">
      <formula1>1</formula1>
      <formula2>2</formula2>
    </dataValidation>
    <dataValidation allowBlank="1" showInputMessage="1" showErrorMessage="1" promptTitle="Power efficiency" prompt="Power efficiency=100*PAC/PDC" sqref="C14" xr:uid="{00000000-0002-0000-0C00-000001000000}"/>
    <dataValidation allowBlank="1" showInputMessage="1" showErrorMessage="1" errorTitle="Tmm" error="-50ºC&lt;Tmm&lt;50ºC" promptTitle="Normalised output power" prompt="Ratio of the output power to the nominal inverter power. " sqref="B14" xr:uid="{00000000-0002-0000-0C00-000002000000}"/>
    <dataValidation type="decimal" allowBlank="1" showInputMessage="1" showErrorMessage="1" errorTitle="Values" error="0&lt;=Values&lt;=100" promptTitle="Power efficiency [%]" prompt="Power efficiency=100*PAC/PDC" sqref="C15:C20" xr:uid="{00000000-0002-0000-0C00-000003000000}">
      <formula1>0</formula1>
      <formula2>100</formula2>
    </dataValidation>
    <dataValidation type="decimal" allowBlank="1" showInputMessage="1" showErrorMessage="1" errorTitle="Tmm" error="-50ºC&lt;Tmm&lt;50ºC" promptTitle="Normalised output power" prompt="Ratio of the output power to the nominal inverter power. " sqref="B15:B20" xr:uid="{00000000-0002-0000-0C00-000004000000}">
      <formula1>0</formula1>
      <formula2>1</formula2>
    </dataValidation>
  </dataValidations>
  <pageMargins left="0.75" right="0.75" top="1" bottom="1" header="0" footer="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B16A6-8C2A-4E36-8BB9-0BD16681B785}">
  <sheetPr>
    <tabColor indexed="18"/>
  </sheetPr>
  <dimension ref="A1:E81"/>
  <sheetViews>
    <sheetView zoomScaleNormal="100" workbookViewId="0">
      <selection activeCell="E4" sqref="E4"/>
    </sheetView>
  </sheetViews>
  <sheetFormatPr baseColWidth="10" defaultRowHeight="13.2" x14ac:dyDescent="0.25"/>
  <cols>
    <col min="1" max="1" width="2.6640625" customWidth="1"/>
    <col min="2" max="2" width="37.88671875" bestFit="1" customWidth="1"/>
    <col min="3" max="3" width="71.44140625" bestFit="1" customWidth="1"/>
    <col min="4" max="4" width="8.33203125" customWidth="1"/>
    <col min="5" max="5" width="67.88671875" bestFit="1" customWidth="1"/>
  </cols>
  <sheetData>
    <row r="1" spans="1:5" ht="23.4" x14ac:dyDescent="0.55000000000000004">
      <c r="B1" s="79" t="s">
        <v>35</v>
      </c>
      <c r="C1" s="79"/>
      <c r="D1" s="81"/>
      <c r="E1" s="78"/>
    </row>
    <row r="2" spans="1:5" ht="18" x14ac:dyDescent="0.45">
      <c r="B2" s="25"/>
      <c r="C2" s="12"/>
      <c r="D2" s="26"/>
      <c r="E2" s="25"/>
    </row>
    <row r="3" spans="1:5" ht="17.399999999999999" x14ac:dyDescent="0.4">
      <c r="B3" s="4" t="s">
        <v>49</v>
      </c>
      <c r="C3" s="5" t="s">
        <v>9</v>
      </c>
      <c r="D3" s="5" t="s">
        <v>10</v>
      </c>
      <c r="E3" s="4" t="s">
        <v>11</v>
      </c>
    </row>
    <row r="4" spans="1:5" ht="17.399999999999999" x14ac:dyDescent="0.4">
      <c r="A4" s="24">
        <v>1</v>
      </c>
      <c r="B4" s="109" t="s">
        <v>299</v>
      </c>
      <c r="C4" s="110">
        <v>1</v>
      </c>
      <c r="D4" s="110"/>
      <c r="E4" s="109" t="s">
        <v>316</v>
      </c>
    </row>
    <row r="5" spans="1:5" ht="17.399999999999999" x14ac:dyDescent="0.4">
      <c r="A5" s="24">
        <v>2</v>
      </c>
      <c r="B5" s="109" t="s">
        <v>300</v>
      </c>
      <c r="C5" s="111" t="s">
        <v>284</v>
      </c>
      <c r="D5" s="110"/>
      <c r="E5" s="109" t="s">
        <v>258</v>
      </c>
    </row>
    <row r="6" spans="1:5" ht="17.399999999999999" x14ac:dyDescent="0.45">
      <c r="A6" s="24">
        <v>3</v>
      </c>
      <c r="B6" s="22" t="s">
        <v>301</v>
      </c>
      <c r="C6" s="20">
        <v>8</v>
      </c>
      <c r="D6" s="23" t="s">
        <v>5</v>
      </c>
      <c r="E6" s="27" t="s">
        <v>36</v>
      </c>
    </row>
    <row r="7" spans="1:5" ht="18.75" customHeight="1" x14ac:dyDescent="0.45">
      <c r="A7" s="24">
        <v>4</v>
      </c>
      <c r="B7" s="22" t="s">
        <v>302</v>
      </c>
      <c r="C7" s="20">
        <v>8</v>
      </c>
      <c r="D7" s="23" t="s">
        <v>5</v>
      </c>
      <c r="E7" s="2" t="s">
        <v>37</v>
      </c>
    </row>
    <row r="8" spans="1:5" ht="18" x14ac:dyDescent="0.45">
      <c r="A8" s="24">
        <v>5</v>
      </c>
      <c r="B8" s="22" t="s">
        <v>303</v>
      </c>
      <c r="C8" s="20">
        <v>1</v>
      </c>
      <c r="D8" s="23" t="s">
        <v>7</v>
      </c>
      <c r="E8" s="2" t="s">
        <v>86</v>
      </c>
    </row>
    <row r="9" spans="1:5" ht="18" x14ac:dyDescent="0.45">
      <c r="A9" s="24">
        <v>6</v>
      </c>
      <c r="B9" s="4" t="s">
        <v>46</v>
      </c>
      <c r="C9" s="20"/>
      <c r="D9" s="23"/>
      <c r="E9" s="2"/>
    </row>
    <row r="10" spans="1:5" ht="17.399999999999999" x14ac:dyDescent="0.45">
      <c r="A10" s="24">
        <v>7</v>
      </c>
      <c r="B10" s="29" t="s">
        <v>304</v>
      </c>
      <c r="C10" s="20">
        <v>0.01</v>
      </c>
      <c r="D10" s="23" t="s">
        <v>7</v>
      </c>
      <c r="E10" s="27" t="s">
        <v>38</v>
      </c>
    </row>
    <row r="11" spans="1:5" ht="18" x14ac:dyDescent="0.45">
      <c r="A11" s="24">
        <v>8</v>
      </c>
      <c r="B11" s="29" t="s">
        <v>305</v>
      </c>
      <c r="C11" s="20">
        <v>0.05</v>
      </c>
      <c r="D11" s="23" t="s">
        <v>7</v>
      </c>
      <c r="E11" s="2" t="s">
        <v>39</v>
      </c>
    </row>
    <row r="12" spans="1:5" ht="17.25" customHeight="1" x14ac:dyDescent="0.45">
      <c r="A12" s="24">
        <v>9</v>
      </c>
      <c r="B12" s="29" t="s">
        <v>306</v>
      </c>
      <c r="C12" s="20">
        <v>0.08</v>
      </c>
      <c r="D12" s="19" t="s">
        <v>7</v>
      </c>
      <c r="E12" s="2" t="s">
        <v>40</v>
      </c>
    </row>
    <row r="13" spans="1:5" ht="17.25" customHeight="1" x14ac:dyDescent="0.45">
      <c r="A13" s="24">
        <v>10</v>
      </c>
      <c r="B13" s="4" t="s">
        <v>87</v>
      </c>
      <c r="C13" s="4"/>
      <c r="D13" s="19"/>
      <c r="E13" s="2"/>
    </row>
    <row r="14" spans="1:5" ht="17.25" customHeight="1" x14ac:dyDescent="0.45">
      <c r="A14" s="24">
        <v>11</v>
      </c>
      <c r="B14" s="36" t="s">
        <v>113</v>
      </c>
      <c r="C14" s="36" t="s">
        <v>47</v>
      </c>
      <c r="D14" s="19"/>
      <c r="E14" s="2"/>
    </row>
    <row r="15" spans="1:5" ht="18" x14ac:dyDescent="0.45">
      <c r="A15" s="24">
        <v>12</v>
      </c>
      <c r="B15" s="30">
        <v>0</v>
      </c>
      <c r="C15" s="34">
        <v>0</v>
      </c>
      <c r="D15" s="19"/>
      <c r="E15" s="2"/>
    </row>
    <row r="16" spans="1:5" ht="18" x14ac:dyDescent="0.45">
      <c r="A16" s="24">
        <v>13</v>
      </c>
      <c r="B16" s="31">
        <v>0.1</v>
      </c>
      <c r="C16" s="35">
        <v>94.2</v>
      </c>
      <c r="D16" s="19"/>
      <c r="E16" s="2"/>
    </row>
    <row r="17" spans="1:5" ht="18" x14ac:dyDescent="0.45">
      <c r="A17" s="24">
        <v>14</v>
      </c>
      <c r="B17" s="31">
        <v>0.25</v>
      </c>
      <c r="C17" s="35">
        <v>96.4</v>
      </c>
      <c r="D17" s="19"/>
      <c r="E17" s="2"/>
    </row>
    <row r="18" spans="1:5" ht="18" x14ac:dyDescent="0.45">
      <c r="A18" s="24">
        <v>15</v>
      </c>
      <c r="B18" s="31">
        <v>0.5</v>
      </c>
      <c r="C18" s="35">
        <v>96.7</v>
      </c>
      <c r="D18" s="19"/>
      <c r="E18" s="2"/>
    </row>
    <row r="19" spans="1:5" ht="18" x14ac:dyDescent="0.45">
      <c r="A19" s="24">
        <v>16</v>
      </c>
      <c r="B19" s="31">
        <v>0.75</v>
      </c>
      <c r="C19" s="35">
        <v>96.4</v>
      </c>
      <c r="D19" s="19"/>
      <c r="E19" s="2"/>
    </row>
    <row r="20" spans="1:5" ht="18" x14ac:dyDescent="0.45">
      <c r="A20" s="24">
        <v>17</v>
      </c>
      <c r="B20" s="32">
        <v>1</v>
      </c>
      <c r="C20" s="41">
        <v>96.2</v>
      </c>
      <c r="D20" s="19"/>
      <c r="E20" s="2"/>
    </row>
    <row r="41" spans="4:4" ht="15" x14ac:dyDescent="0.35">
      <c r="D41" s="11"/>
    </row>
    <row r="42" spans="4:4" ht="15" x14ac:dyDescent="0.35">
      <c r="D42" s="11"/>
    </row>
    <row r="43" spans="4:4" ht="15" x14ac:dyDescent="0.35">
      <c r="D43" s="11"/>
    </row>
    <row r="44" spans="4:4" ht="15" x14ac:dyDescent="0.35">
      <c r="D44" s="11"/>
    </row>
    <row r="45" spans="4:4" ht="15" x14ac:dyDescent="0.35">
      <c r="D45" s="11"/>
    </row>
    <row r="46" spans="4:4" ht="15" x14ac:dyDescent="0.35">
      <c r="D46" s="11"/>
    </row>
    <row r="47" spans="4:4" ht="15" x14ac:dyDescent="0.35">
      <c r="D47" s="11"/>
    </row>
    <row r="48" spans="4:4" ht="15" x14ac:dyDescent="0.35">
      <c r="D48" s="11"/>
    </row>
    <row r="49" spans="4:4" ht="15" x14ac:dyDescent="0.35">
      <c r="D49" s="11"/>
    </row>
    <row r="50" spans="4:4" ht="15" x14ac:dyDescent="0.35">
      <c r="D50" s="11"/>
    </row>
    <row r="51" spans="4:4" ht="15" x14ac:dyDescent="0.35">
      <c r="D51" s="11"/>
    </row>
    <row r="52" spans="4:4" ht="15" x14ac:dyDescent="0.35">
      <c r="D52" s="11"/>
    </row>
    <row r="53" spans="4:4" ht="15" x14ac:dyDescent="0.35">
      <c r="D53" s="11"/>
    </row>
    <row r="54" spans="4:4" ht="15" x14ac:dyDescent="0.35">
      <c r="D54" s="11"/>
    </row>
    <row r="55" spans="4:4" ht="15" x14ac:dyDescent="0.35">
      <c r="D55" s="11"/>
    </row>
    <row r="56" spans="4:4" ht="15" x14ac:dyDescent="0.35">
      <c r="D56" s="11"/>
    </row>
    <row r="57" spans="4:4" ht="15" x14ac:dyDescent="0.35">
      <c r="D57" s="11"/>
    </row>
    <row r="58" spans="4:4" ht="15" x14ac:dyDescent="0.35">
      <c r="D58" s="11"/>
    </row>
    <row r="59" spans="4:4" ht="15" x14ac:dyDescent="0.35">
      <c r="D59" s="11"/>
    </row>
    <row r="60" spans="4:4" ht="15" x14ac:dyDescent="0.35">
      <c r="D60" s="11"/>
    </row>
    <row r="61" spans="4:4" ht="15" x14ac:dyDescent="0.35">
      <c r="D61" s="11"/>
    </row>
    <row r="62" spans="4:4" ht="15" x14ac:dyDescent="0.35">
      <c r="D62" s="11"/>
    </row>
    <row r="63" spans="4:4" ht="15" x14ac:dyDescent="0.35">
      <c r="D63" s="11"/>
    </row>
    <row r="64" spans="4:4" ht="15" x14ac:dyDescent="0.35">
      <c r="D64" s="11"/>
    </row>
    <row r="65" spans="4:4" ht="15" x14ac:dyDescent="0.35">
      <c r="D65" s="11"/>
    </row>
    <row r="66" spans="4:4" ht="15" x14ac:dyDescent="0.35">
      <c r="D66" s="11"/>
    </row>
    <row r="67" spans="4:4" ht="15" x14ac:dyDescent="0.35">
      <c r="D67" s="11"/>
    </row>
    <row r="68" spans="4:4" ht="15" x14ac:dyDescent="0.35">
      <c r="D68" s="11"/>
    </row>
    <row r="69" spans="4:4" ht="15" x14ac:dyDescent="0.35">
      <c r="D69" s="11"/>
    </row>
    <row r="70" spans="4:4" ht="15" x14ac:dyDescent="0.35">
      <c r="D70" s="11"/>
    </row>
    <row r="71" spans="4:4" ht="15" x14ac:dyDescent="0.35">
      <c r="D71" s="11"/>
    </row>
    <row r="72" spans="4:4" ht="15" x14ac:dyDescent="0.35">
      <c r="D72" s="11"/>
    </row>
    <row r="73" spans="4:4" ht="15" x14ac:dyDescent="0.35">
      <c r="D73" s="11"/>
    </row>
    <row r="74" spans="4:4" ht="15" x14ac:dyDescent="0.35">
      <c r="D74" s="11"/>
    </row>
    <row r="75" spans="4:4" ht="15" x14ac:dyDescent="0.35">
      <c r="D75" s="11"/>
    </row>
    <row r="76" spans="4:4" ht="15" x14ac:dyDescent="0.35">
      <c r="D76" s="11"/>
    </row>
    <row r="77" spans="4:4" ht="15" x14ac:dyDescent="0.35">
      <c r="D77" s="11"/>
    </row>
    <row r="78" spans="4:4" ht="15" x14ac:dyDescent="0.35">
      <c r="D78" s="11"/>
    </row>
    <row r="79" spans="4:4" ht="15" x14ac:dyDescent="0.35">
      <c r="D79" s="11"/>
    </row>
    <row r="80" spans="4:4" ht="15" x14ac:dyDescent="0.35">
      <c r="D80" s="11"/>
    </row>
    <row r="81" spans="4:4" ht="15" x14ac:dyDescent="0.35">
      <c r="D81" s="11"/>
    </row>
  </sheetData>
  <dataValidations count="5">
    <dataValidation type="decimal" allowBlank="1" showInputMessage="1" showErrorMessage="1" errorTitle="Tmm" error="-50ºC&lt;Tmm&lt;50ºC" promptTitle="Normalised output power" prompt="Ratio of the output power to the nominal inverter power. " sqref="B15:B20" xr:uid="{FBC5A446-BDFC-4DDC-A560-1843F441D8A0}">
      <formula1>0</formula1>
      <formula2>1</formula2>
    </dataValidation>
    <dataValidation type="decimal" allowBlank="1" showInputMessage="1" showErrorMessage="1" errorTitle="Values" error="0&lt;=Values&lt;=100" promptTitle="Power efficiency [%]" prompt="Power efficiency=100*PAC/PDC" sqref="C15:C20" xr:uid="{ED1D9A1E-3A70-4E2C-825D-DC9ACC12A68B}">
      <formula1>0</formula1>
      <formula2>100</formula2>
    </dataValidation>
    <dataValidation allowBlank="1" showInputMessage="1" showErrorMessage="1" errorTitle="Tmm" error="-50ºC&lt;Tmm&lt;50ºC" promptTitle="Normalised output power" prompt="Ratio of the output power to the nominal inverter power. " sqref="B14" xr:uid="{8E6F3B2A-FD79-4CCD-83B4-2CF80896A7DF}"/>
    <dataValidation allowBlank="1" showInputMessage="1" showErrorMessage="1" promptTitle="Power efficiency" prompt="Power efficiency=100*PAC/PDC" sqref="C14" xr:uid="{121765C4-0448-43AA-A93D-EF1EFD75B7A7}"/>
    <dataValidation type="whole" allowBlank="1" showInputMessage="1" showErrorMessage="1" errorTitle="Values" error="1 or 2" promptTitle="Definition of the efficiency" prompt="1. Model parameters (k0, k1 and k2)._x000a_2. Points of the power efficiency curve._x000a_(The program calculates k0, k1 and k2 using the power efficiency points indicated in the table)." sqref="C8" xr:uid="{BE5FBB48-CFF6-4589-B4A1-D60B56B811CE}">
      <formula1>1</formula1>
      <formula2>2</formula2>
    </dataValidation>
  </dataValidations>
  <pageMargins left="0.75" right="0.75" top="1" bottom="1" header="0" footer="0"/>
  <pageSetup paperSize="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4">
    <tabColor indexed="18"/>
  </sheetPr>
  <dimension ref="A1:E6"/>
  <sheetViews>
    <sheetView zoomScaleNormal="100" workbookViewId="0">
      <selection activeCell="E15" sqref="E15"/>
    </sheetView>
  </sheetViews>
  <sheetFormatPr baseColWidth="10" defaultRowHeight="13.2" x14ac:dyDescent="0.25"/>
  <cols>
    <col min="1" max="1" width="2.33203125" customWidth="1"/>
    <col min="2" max="2" width="12.5546875" customWidth="1"/>
    <col min="3" max="3" width="8.44140625" customWidth="1"/>
    <col min="4" max="4" width="8.6640625" customWidth="1"/>
    <col min="5" max="5" width="50.44140625" customWidth="1"/>
  </cols>
  <sheetData>
    <row r="1" spans="1:5" ht="23.4" x14ac:dyDescent="0.55000000000000004">
      <c r="B1" s="79" t="s">
        <v>33</v>
      </c>
      <c r="C1" s="79"/>
      <c r="D1" s="81"/>
      <c r="E1" s="78"/>
    </row>
    <row r="2" spans="1:5" ht="17.399999999999999" x14ac:dyDescent="0.4">
      <c r="B2" s="2"/>
      <c r="C2" s="2"/>
      <c r="D2" s="11"/>
      <c r="E2" s="2"/>
    </row>
    <row r="3" spans="1:5" ht="17.399999999999999" x14ac:dyDescent="0.4">
      <c r="B3" s="4" t="s">
        <v>8</v>
      </c>
      <c r="C3" s="5" t="s">
        <v>9</v>
      </c>
      <c r="D3" s="5" t="s">
        <v>10</v>
      </c>
      <c r="E3" s="4" t="s">
        <v>11</v>
      </c>
    </row>
    <row r="4" spans="1:5" ht="17.399999999999999" x14ac:dyDescent="0.45">
      <c r="A4" s="24">
        <v>1</v>
      </c>
      <c r="B4" s="22" t="s">
        <v>41</v>
      </c>
      <c r="C4" s="20">
        <v>1</v>
      </c>
      <c r="D4" s="23" t="s">
        <v>6</v>
      </c>
      <c r="E4" s="21" t="s">
        <v>173</v>
      </c>
    </row>
    <row r="5" spans="1:5" ht="17.399999999999999" x14ac:dyDescent="0.45">
      <c r="A5" s="24">
        <v>2</v>
      </c>
      <c r="B5" s="22" t="s">
        <v>88</v>
      </c>
      <c r="C5" s="20">
        <v>1</v>
      </c>
      <c r="D5" s="23" t="s">
        <v>6</v>
      </c>
      <c r="E5" s="21" t="s">
        <v>174</v>
      </c>
    </row>
    <row r="6" spans="1:5" ht="17.399999999999999" x14ac:dyDescent="0.45">
      <c r="B6" s="22"/>
      <c r="C6" s="20"/>
      <c r="D6" s="23"/>
      <c r="E6" s="21"/>
    </row>
  </sheetData>
  <phoneticPr fontId="1" type="noConversion"/>
  <dataValidations count="1">
    <dataValidation type="decimal" allowBlank="1" showInputMessage="1" showErrorMessage="1" errorTitle="Values" error="0 to 10%" promptTitle="Wiring losses" prompt="0 to 10%" sqref="C4:C5" xr:uid="{00000000-0002-0000-0E00-000000000000}">
      <formula1>0</formula1>
      <formula2>10</formula2>
    </dataValidation>
  </dataValidations>
  <pageMargins left="0.75" right="0.75" top="1" bottom="1" header="0" footer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4AFE9-CAAE-424F-B16C-52469976E49A}">
  <sheetPr>
    <tabColor indexed="18"/>
  </sheetPr>
  <dimension ref="A1:E6"/>
  <sheetViews>
    <sheetView zoomScaleNormal="100" workbookViewId="0">
      <selection activeCell="C5" sqref="C5"/>
    </sheetView>
  </sheetViews>
  <sheetFormatPr baseColWidth="10" defaultRowHeight="13.2" x14ac:dyDescent="0.25"/>
  <cols>
    <col min="1" max="1" width="2.88671875" customWidth="1"/>
    <col min="2" max="3" width="12.5546875" customWidth="1"/>
    <col min="4" max="4" width="9.88671875" customWidth="1"/>
    <col min="5" max="5" width="108.6640625" customWidth="1"/>
  </cols>
  <sheetData>
    <row r="1" spans="1:5" ht="23.4" x14ac:dyDescent="0.55000000000000004">
      <c r="B1" s="79" t="s">
        <v>89</v>
      </c>
      <c r="C1" s="79"/>
      <c r="D1" s="81"/>
      <c r="E1" s="78"/>
    </row>
    <row r="2" spans="1:5" ht="17.399999999999999" x14ac:dyDescent="0.4">
      <c r="B2" s="2"/>
      <c r="C2" s="2"/>
      <c r="D2" s="11"/>
      <c r="E2" s="2"/>
    </row>
    <row r="3" spans="1:5" ht="17.399999999999999" x14ac:dyDescent="0.4">
      <c r="B3" s="4" t="s">
        <v>8</v>
      </c>
      <c r="C3" s="5" t="s">
        <v>9</v>
      </c>
      <c r="D3" s="5" t="s">
        <v>10</v>
      </c>
      <c r="E3" s="4" t="s">
        <v>11</v>
      </c>
    </row>
    <row r="4" spans="1:5" ht="17.25" customHeight="1" x14ac:dyDescent="0.45">
      <c r="A4" s="24">
        <v>1</v>
      </c>
      <c r="B4" s="22" t="s">
        <v>91</v>
      </c>
      <c r="C4" s="20">
        <v>10</v>
      </c>
      <c r="D4" s="23" t="s">
        <v>93</v>
      </c>
      <c r="E4" s="21" t="s">
        <v>92</v>
      </c>
    </row>
    <row r="5" spans="1:5" ht="18" customHeight="1" x14ac:dyDescent="0.45">
      <c r="A5" s="24">
        <v>2</v>
      </c>
      <c r="B5" s="22" t="s">
        <v>94</v>
      </c>
      <c r="C5" s="20">
        <v>1</v>
      </c>
      <c r="D5" s="23" t="s">
        <v>7</v>
      </c>
      <c r="E5" s="21" t="s">
        <v>97</v>
      </c>
    </row>
    <row r="6" spans="1:5" ht="20.25" customHeight="1" x14ac:dyDescent="0.45">
      <c r="A6" s="24">
        <v>3</v>
      </c>
      <c r="B6" s="22" t="s">
        <v>95</v>
      </c>
      <c r="C6" s="20">
        <v>0.1</v>
      </c>
      <c r="D6" s="23" t="s">
        <v>7</v>
      </c>
      <c r="E6" s="21" t="s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443CC-4264-4B58-A648-D10ED63759EE}">
  <sheetPr>
    <tabColor indexed="18"/>
  </sheetPr>
  <dimension ref="A1:E22"/>
  <sheetViews>
    <sheetView workbookViewId="0">
      <selection activeCell="B4" sqref="B4"/>
    </sheetView>
  </sheetViews>
  <sheetFormatPr baseColWidth="10" defaultRowHeight="13.2" x14ac:dyDescent="0.25"/>
  <cols>
    <col min="1" max="1" width="2.33203125" bestFit="1" customWidth="1"/>
    <col min="2" max="2" width="30.5546875" customWidth="1"/>
    <col min="3" max="3" width="20.44140625" bestFit="1" customWidth="1"/>
    <col min="4" max="4" width="12.88671875" bestFit="1" customWidth="1"/>
    <col min="5" max="5" width="126.5546875" customWidth="1"/>
  </cols>
  <sheetData>
    <row r="1" spans="1:5" ht="23.4" x14ac:dyDescent="0.55000000000000004">
      <c r="B1" s="79" t="s">
        <v>221</v>
      </c>
      <c r="C1" s="79"/>
      <c r="D1" s="81"/>
      <c r="E1" s="78"/>
    </row>
    <row r="2" spans="1:5" ht="17.399999999999999" x14ac:dyDescent="0.4">
      <c r="B2" s="2"/>
      <c r="C2" s="2"/>
      <c r="D2" s="11"/>
      <c r="E2" s="2"/>
    </row>
    <row r="3" spans="1:5" ht="17.399999999999999" x14ac:dyDescent="0.4">
      <c r="B3" s="4" t="s">
        <v>8</v>
      </c>
      <c r="C3" s="5" t="s">
        <v>9</v>
      </c>
      <c r="D3" s="5" t="s">
        <v>10</v>
      </c>
      <c r="E3" s="4" t="s">
        <v>11</v>
      </c>
    </row>
    <row r="4" spans="1:5" ht="17.399999999999999" x14ac:dyDescent="0.4">
      <c r="A4" s="24">
        <v>1</v>
      </c>
      <c r="B4" s="109" t="s">
        <v>307</v>
      </c>
      <c r="C4" s="110">
        <v>1</v>
      </c>
      <c r="D4" s="110"/>
      <c r="E4" s="109" t="s">
        <v>316</v>
      </c>
    </row>
    <row r="5" spans="1:5" ht="17.399999999999999" x14ac:dyDescent="0.4">
      <c r="A5" s="24">
        <v>2</v>
      </c>
      <c r="B5" s="109" t="s">
        <v>308</v>
      </c>
      <c r="C5" s="111" t="s">
        <v>294</v>
      </c>
      <c r="D5" s="110"/>
      <c r="E5" s="109" t="s">
        <v>259</v>
      </c>
    </row>
    <row r="6" spans="1:5" ht="17.399999999999999" x14ac:dyDescent="0.4">
      <c r="A6" s="24">
        <v>3</v>
      </c>
      <c r="B6" s="109" t="s">
        <v>309</v>
      </c>
      <c r="C6" s="110">
        <v>4</v>
      </c>
      <c r="D6" s="110"/>
      <c r="E6" s="109" t="s">
        <v>260</v>
      </c>
    </row>
    <row r="7" spans="1:5" ht="17.399999999999999" x14ac:dyDescent="0.45">
      <c r="A7" s="24">
        <v>4</v>
      </c>
      <c r="B7" s="105" t="s">
        <v>222</v>
      </c>
      <c r="C7" s="106">
        <v>2</v>
      </c>
      <c r="D7" s="19" t="s">
        <v>7</v>
      </c>
      <c r="E7" s="107" t="s">
        <v>223</v>
      </c>
    </row>
    <row r="8" spans="1:5" ht="17.399999999999999" x14ac:dyDescent="0.45">
      <c r="A8" s="24">
        <v>5</v>
      </c>
      <c r="B8" s="105" t="s">
        <v>224</v>
      </c>
      <c r="C8" s="108">
        <v>2</v>
      </c>
      <c r="D8" s="19" t="s">
        <v>7</v>
      </c>
      <c r="E8" s="107" t="s">
        <v>225</v>
      </c>
    </row>
    <row r="9" spans="1:5" ht="17.399999999999999" x14ac:dyDescent="0.45">
      <c r="A9" s="24">
        <v>6</v>
      </c>
      <c r="B9" s="105" t="s">
        <v>226</v>
      </c>
      <c r="C9" s="108">
        <v>0.85</v>
      </c>
      <c r="D9" s="19" t="s">
        <v>7</v>
      </c>
      <c r="E9" s="107" t="s">
        <v>227</v>
      </c>
    </row>
    <row r="10" spans="1:5" ht="17.399999999999999" x14ac:dyDescent="0.45">
      <c r="A10" s="24">
        <v>7</v>
      </c>
      <c r="B10" s="105" t="s">
        <v>228</v>
      </c>
      <c r="C10" s="108">
        <v>2.5</v>
      </c>
      <c r="D10" s="19" t="s">
        <v>229</v>
      </c>
      <c r="E10" s="107" t="s">
        <v>230</v>
      </c>
    </row>
    <row r="11" spans="1:5" ht="17.399999999999999" x14ac:dyDescent="0.45">
      <c r="A11" s="24">
        <v>8</v>
      </c>
      <c r="B11" s="105" t="s">
        <v>231</v>
      </c>
      <c r="C11" s="108">
        <v>0.95</v>
      </c>
      <c r="D11" s="19" t="s">
        <v>7</v>
      </c>
      <c r="E11" s="107" t="s">
        <v>232</v>
      </c>
    </row>
    <row r="12" spans="1:5" ht="17.399999999999999" x14ac:dyDescent="0.45">
      <c r="A12" s="24">
        <v>9</v>
      </c>
      <c r="B12" s="105" t="s">
        <v>233</v>
      </c>
      <c r="C12" s="108">
        <v>0.95</v>
      </c>
      <c r="D12" s="19" t="s">
        <v>7</v>
      </c>
      <c r="E12" s="107" t="s">
        <v>234</v>
      </c>
    </row>
    <row r="13" spans="1:5" ht="17.399999999999999" x14ac:dyDescent="0.45">
      <c r="A13" s="24">
        <v>10</v>
      </c>
      <c r="B13" s="105" t="s">
        <v>235</v>
      </c>
      <c r="C13" s="108">
        <v>8</v>
      </c>
      <c r="D13" s="19" t="s">
        <v>5</v>
      </c>
      <c r="E13" s="107" t="s">
        <v>236</v>
      </c>
    </row>
    <row r="14" spans="1:5" ht="17.399999999999999" x14ac:dyDescent="0.45">
      <c r="A14" s="24">
        <v>11</v>
      </c>
      <c r="B14" s="105" t="s">
        <v>237</v>
      </c>
      <c r="C14" s="108">
        <v>8</v>
      </c>
      <c r="D14" s="19" t="s">
        <v>5</v>
      </c>
      <c r="E14" s="107" t="s">
        <v>238</v>
      </c>
    </row>
    <row r="15" spans="1:5" ht="17.399999999999999" x14ac:dyDescent="0.45">
      <c r="A15" s="24">
        <v>12</v>
      </c>
      <c r="B15" s="105" t="s">
        <v>239</v>
      </c>
      <c r="C15" s="108">
        <v>6000</v>
      </c>
      <c r="D15" s="19" t="s">
        <v>7</v>
      </c>
      <c r="E15" s="107" t="s">
        <v>240</v>
      </c>
    </row>
    <row r="16" spans="1:5" ht="17.399999999999999" x14ac:dyDescent="0.45">
      <c r="A16" s="24">
        <v>13</v>
      </c>
      <c r="B16" s="105" t="s">
        <v>241</v>
      </c>
      <c r="C16" s="108">
        <v>0.8</v>
      </c>
      <c r="D16" s="19" t="s">
        <v>7</v>
      </c>
      <c r="E16" s="107" t="s">
        <v>242</v>
      </c>
    </row>
    <row r="17" spans="1:5" ht="17.399999999999999" x14ac:dyDescent="0.45">
      <c r="A17" s="24">
        <v>14</v>
      </c>
      <c r="B17" s="105" t="s">
        <v>243</v>
      </c>
      <c r="C17" s="108">
        <v>10</v>
      </c>
      <c r="D17" s="19" t="s">
        <v>244</v>
      </c>
      <c r="E17" s="107" t="s">
        <v>245</v>
      </c>
    </row>
    <row r="18" spans="1:5" ht="17.399999999999999" x14ac:dyDescent="0.45">
      <c r="A18" s="24">
        <v>15</v>
      </c>
      <c r="B18" s="105" t="s">
        <v>310</v>
      </c>
      <c r="C18" s="108">
        <v>0</v>
      </c>
      <c r="D18" s="19" t="s">
        <v>246</v>
      </c>
      <c r="E18" s="107" t="s">
        <v>247</v>
      </c>
    </row>
    <row r="19" spans="1:5" ht="17.399999999999999" x14ac:dyDescent="0.45">
      <c r="A19" s="24">
        <v>16</v>
      </c>
      <c r="B19" s="105" t="s">
        <v>311</v>
      </c>
      <c r="C19" s="108">
        <v>45</v>
      </c>
      <c r="D19" s="19" t="s">
        <v>246</v>
      </c>
      <c r="E19" s="107" t="s">
        <v>248</v>
      </c>
    </row>
    <row r="20" spans="1:5" ht="17.399999999999999" x14ac:dyDescent="0.45">
      <c r="A20" s="24">
        <v>17</v>
      </c>
      <c r="B20" s="105" t="s">
        <v>312</v>
      </c>
      <c r="C20" s="108">
        <v>-20</v>
      </c>
      <c r="D20" s="19" t="s">
        <v>246</v>
      </c>
      <c r="E20" s="107" t="s">
        <v>249</v>
      </c>
    </row>
    <row r="21" spans="1:5" ht="17.399999999999999" x14ac:dyDescent="0.45">
      <c r="A21" s="24">
        <v>18</v>
      </c>
      <c r="B21" s="105" t="s">
        <v>313</v>
      </c>
      <c r="C21" s="108">
        <v>60</v>
      </c>
      <c r="D21" s="19" t="s">
        <v>246</v>
      </c>
      <c r="E21" s="107" t="s">
        <v>250</v>
      </c>
    </row>
    <row r="22" spans="1:5" ht="17.399999999999999" x14ac:dyDescent="0.45">
      <c r="A22" s="24">
        <v>19</v>
      </c>
      <c r="B22" s="105" t="s">
        <v>251</v>
      </c>
      <c r="C22" s="108">
        <v>3</v>
      </c>
      <c r="D22" s="19" t="s">
        <v>252</v>
      </c>
      <c r="E22" s="107" t="s">
        <v>253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40806-6804-4562-A3C8-842BE1B0C1F4}">
  <sheetPr>
    <tabColor indexed="18"/>
  </sheetPr>
  <dimension ref="A1:J47"/>
  <sheetViews>
    <sheetView workbookViewId="0">
      <selection activeCell="C22" sqref="C22"/>
    </sheetView>
  </sheetViews>
  <sheetFormatPr baseColWidth="10" defaultRowHeight="13.2" x14ac:dyDescent="0.25"/>
  <cols>
    <col min="1" max="1" width="2.5546875" customWidth="1"/>
    <col min="2" max="2" width="15" customWidth="1"/>
    <col min="3" max="3" width="10.88671875" customWidth="1"/>
    <col min="4" max="4" width="13" customWidth="1"/>
    <col min="5" max="5" width="70.109375" customWidth="1"/>
    <col min="6" max="6" width="21.33203125" customWidth="1"/>
    <col min="7" max="7" width="10.6640625" customWidth="1"/>
    <col min="8" max="8" width="7.5546875" customWidth="1"/>
    <col min="9" max="9" width="7.88671875" customWidth="1"/>
  </cols>
  <sheetData>
    <row r="1" spans="1:10" ht="23.4" x14ac:dyDescent="0.55000000000000004">
      <c r="B1" s="79" t="s">
        <v>90</v>
      </c>
      <c r="C1" s="79"/>
      <c r="D1" s="81"/>
      <c r="E1" s="78"/>
    </row>
    <row r="2" spans="1:10" x14ac:dyDescent="0.25">
      <c r="A2" s="60"/>
    </row>
    <row r="3" spans="1:10" ht="17.399999999999999" x14ac:dyDescent="0.4">
      <c r="A3" s="24"/>
      <c r="B3" s="4" t="s">
        <v>101</v>
      </c>
      <c r="C3" s="5"/>
      <c r="D3" s="5"/>
      <c r="E3" s="4"/>
      <c r="J3" s="25"/>
    </row>
    <row r="4" spans="1:10" ht="17.399999999999999" x14ac:dyDescent="0.4">
      <c r="A4" s="24">
        <v>1</v>
      </c>
      <c r="B4" s="65" t="s">
        <v>98</v>
      </c>
      <c r="C4" s="66" t="s">
        <v>100</v>
      </c>
      <c r="D4" s="8"/>
      <c r="E4" s="2"/>
    </row>
    <row r="5" spans="1:10" ht="17.399999999999999" x14ac:dyDescent="0.4">
      <c r="A5" s="24">
        <v>2</v>
      </c>
      <c r="B5" s="68" t="s">
        <v>18</v>
      </c>
      <c r="C5" s="72">
        <v>10</v>
      </c>
      <c r="D5" s="8"/>
      <c r="E5" s="2"/>
    </row>
    <row r="6" spans="1:10" ht="17.399999999999999" x14ac:dyDescent="0.4">
      <c r="A6" s="24">
        <v>3</v>
      </c>
      <c r="B6" s="69" t="s">
        <v>19</v>
      </c>
      <c r="C6" s="73">
        <v>10</v>
      </c>
      <c r="D6" s="8"/>
      <c r="E6" s="2"/>
    </row>
    <row r="7" spans="1:10" ht="17.399999999999999" x14ac:dyDescent="0.4">
      <c r="A7" s="24">
        <v>4</v>
      </c>
      <c r="B7" s="69" t="s">
        <v>20</v>
      </c>
      <c r="C7" s="73">
        <v>10</v>
      </c>
      <c r="D7" s="8"/>
      <c r="E7" s="2"/>
    </row>
    <row r="8" spans="1:10" ht="17.399999999999999" x14ac:dyDescent="0.4">
      <c r="A8" s="24">
        <v>5</v>
      </c>
      <c r="B8" s="69" t="s">
        <v>21</v>
      </c>
      <c r="C8" s="73">
        <v>10</v>
      </c>
      <c r="D8" s="8"/>
      <c r="E8" s="2"/>
    </row>
    <row r="9" spans="1:10" ht="17.399999999999999" x14ac:dyDescent="0.4">
      <c r="A9" s="24">
        <v>6</v>
      </c>
      <c r="B9" s="69" t="s">
        <v>0</v>
      </c>
      <c r="C9" s="73">
        <v>10</v>
      </c>
      <c r="D9" s="8"/>
      <c r="E9" s="2"/>
    </row>
    <row r="10" spans="1:10" ht="17.399999999999999" x14ac:dyDescent="0.4">
      <c r="A10" s="24">
        <v>7</v>
      </c>
      <c r="B10" s="69" t="s">
        <v>22</v>
      </c>
      <c r="C10" s="73">
        <v>10</v>
      </c>
      <c r="D10" s="8"/>
      <c r="E10" s="2"/>
    </row>
    <row r="11" spans="1:10" ht="17.399999999999999" x14ac:dyDescent="0.4">
      <c r="A11" s="24">
        <v>8</v>
      </c>
      <c r="B11" s="69" t="s">
        <v>23</v>
      </c>
      <c r="C11" s="73">
        <v>10</v>
      </c>
      <c r="D11" s="8"/>
      <c r="E11" s="2"/>
    </row>
    <row r="12" spans="1:10" ht="17.399999999999999" x14ac:dyDescent="0.4">
      <c r="A12" s="24">
        <v>9</v>
      </c>
      <c r="B12" s="69" t="s">
        <v>24</v>
      </c>
      <c r="C12" s="73">
        <v>10</v>
      </c>
      <c r="D12" s="8"/>
      <c r="E12" s="2"/>
    </row>
    <row r="13" spans="1:10" ht="17.399999999999999" x14ac:dyDescent="0.4">
      <c r="A13" s="24">
        <v>10</v>
      </c>
      <c r="B13" s="69" t="s">
        <v>25</v>
      </c>
      <c r="C13" s="73">
        <v>10</v>
      </c>
      <c r="D13" s="8"/>
      <c r="E13" s="2"/>
    </row>
    <row r="14" spans="1:10" ht="17.399999999999999" x14ac:dyDescent="0.4">
      <c r="A14" s="24">
        <v>11</v>
      </c>
      <c r="B14" s="69" t="s">
        <v>26</v>
      </c>
      <c r="C14" s="73">
        <v>10</v>
      </c>
      <c r="D14" s="8"/>
      <c r="E14" s="2"/>
    </row>
    <row r="15" spans="1:10" ht="17.399999999999999" x14ac:dyDescent="0.4">
      <c r="A15" s="24">
        <v>12</v>
      </c>
      <c r="B15" s="69" t="s">
        <v>27</v>
      </c>
      <c r="C15" s="73">
        <v>10</v>
      </c>
      <c r="D15" s="8"/>
      <c r="E15" s="2"/>
    </row>
    <row r="16" spans="1:10" ht="17.399999999999999" x14ac:dyDescent="0.4">
      <c r="A16" s="24">
        <v>13</v>
      </c>
      <c r="B16" s="70" t="s">
        <v>28</v>
      </c>
      <c r="C16" s="74">
        <v>10</v>
      </c>
      <c r="D16" s="8"/>
      <c r="E16" s="2"/>
    </row>
    <row r="17" spans="1:8" ht="17.399999999999999" x14ac:dyDescent="0.4">
      <c r="A17" s="24">
        <v>14</v>
      </c>
      <c r="B17" s="61" t="s">
        <v>99</v>
      </c>
      <c r="C17" s="67">
        <f>31*C5+28*C6+31*C7+30*C8+31*C9+30*C10+31*C11+31*C12+30*C13+31*C14+30*C15+31*C16</f>
        <v>3650</v>
      </c>
      <c r="D17" s="62"/>
      <c r="E17" s="61" t="s">
        <v>108</v>
      </c>
    </row>
    <row r="18" spans="1:8" x14ac:dyDescent="0.25">
      <c r="A18" s="24">
        <v>15</v>
      </c>
    </row>
    <row r="19" spans="1:8" ht="15.75" customHeight="1" x14ac:dyDescent="0.4">
      <c r="A19" s="24">
        <v>16</v>
      </c>
      <c r="B19" s="2"/>
      <c r="C19" s="8"/>
      <c r="D19" s="9"/>
      <c r="E19" s="2"/>
    </row>
    <row r="20" spans="1:8" ht="17.399999999999999" x14ac:dyDescent="0.4">
      <c r="A20" s="24">
        <v>17</v>
      </c>
      <c r="B20" s="4" t="s">
        <v>106</v>
      </c>
      <c r="C20" s="5"/>
      <c r="D20" s="5"/>
      <c r="E20" s="4"/>
    </row>
    <row r="21" spans="1:8" ht="17.399999999999999" x14ac:dyDescent="0.4">
      <c r="A21" s="24">
        <v>18</v>
      </c>
      <c r="B21" s="25"/>
      <c r="C21" s="12"/>
      <c r="D21" s="12"/>
      <c r="E21" s="25"/>
    </row>
    <row r="22" spans="1:8" ht="17.399999999999999" x14ac:dyDescent="0.4">
      <c r="A22" s="24">
        <v>19</v>
      </c>
      <c r="B22" s="37" t="s">
        <v>102</v>
      </c>
      <c r="C22" s="37" t="s">
        <v>104</v>
      </c>
      <c r="D22" s="9"/>
      <c r="E22" s="2" t="s">
        <v>105</v>
      </c>
    </row>
    <row r="23" spans="1:8" ht="18" x14ac:dyDescent="0.45">
      <c r="A23" s="24">
        <v>20</v>
      </c>
      <c r="B23" s="38">
        <v>1</v>
      </c>
      <c r="C23" s="75">
        <v>5.8000000000000003E-2</v>
      </c>
      <c r="D23" s="19"/>
      <c r="E23" s="2" t="s">
        <v>103</v>
      </c>
    </row>
    <row r="24" spans="1:8" ht="18" x14ac:dyDescent="0.45">
      <c r="A24" s="24">
        <v>21</v>
      </c>
      <c r="B24" s="39">
        <v>2</v>
      </c>
      <c r="C24" s="76">
        <v>3.2000000000000001E-2</v>
      </c>
      <c r="D24" s="19"/>
    </row>
    <row r="25" spans="1:8" ht="19.8" x14ac:dyDescent="0.45">
      <c r="A25" s="24">
        <v>22</v>
      </c>
      <c r="B25" s="39">
        <v>3</v>
      </c>
      <c r="C25" s="76">
        <v>1.7999999999999999E-2</v>
      </c>
      <c r="D25" s="11"/>
      <c r="F25" s="4" t="s">
        <v>123</v>
      </c>
      <c r="G25" s="71">
        <f>MAX(C5:C16)*MAX(C23:C46)</f>
        <v>1.44</v>
      </c>
      <c r="H25" s="5" t="s">
        <v>5</v>
      </c>
    </row>
    <row r="26" spans="1:8" ht="17.399999999999999" x14ac:dyDescent="0.4">
      <c r="A26" s="24">
        <v>23</v>
      </c>
      <c r="B26" s="39">
        <v>4</v>
      </c>
      <c r="C26" s="76">
        <v>1.4999999999999999E-2</v>
      </c>
      <c r="D26" s="11"/>
    </row>
    <row r="27" spans="1:8" ht="17.399999999999999" x14ac:dyDescent="0.4">
      <c r="A27" s="24">
        <v>24</v>
      </c>
      <c r="B27" s="39">
        <v>5</v>
      </c>
      <c r="C27" s="76">
        <v>1.4E-2</v>
      </c>
      <c r="D27" s="11"/>
    </row>
    <row r="28" spans="1:8" ht="17.399999999999999" x14ac:dyDescent="0.4">
      <c r="A28" s="24">
        <v>25</v>
      </c>
      <c r="B28" s="39">
        <v>6</v>
      </c>
      <c r="C28" s="76">
        <v>1.7999999999999999E-2</v>
      </c>
      <c r="D28" s="11"/>
    </row>
    <row r="29" spans="1:8" ht="17.399999999999999" x14ac:dyDescent="0.4">
      <c r="A29" s="24">
        <v>26</v>
      </c>
      <c r="B29" s="39">
        <v>7</v>
      </c>
      <c r="C29" s="76">
        <v>3.4000000000000002E-2</v>
      </c>
      <c r="D29" s="11"/>
    </row>
    <row r="30" spans="1:8" ht="17.399999999999999" x14ac:dyDescent="0.4">
      <c r="A30" s="24">
        <v>27</v>
      </c>
      <c r="B30" s="39">
        <v>8</v>
      </c>
      <c r="C30" s="76">
        <v>0.03</v>
      </c>
      <c r="D30" s="11"/>
    </row>
    <row r="31" spans="1:8" ht="17.399999999999999" x14ac:dyDescent="0.4">
      <c r="A31" s="24">
        <v>28</v>
      </c>
      <c r="B31" s="39">
        <v>9</v>
      </c>
      <c r="C31" s="76">
        <v>1.9E-2</v>
      </c>
      <c r="D31" s="11"/>
    </row>
    <row r="32" spans="1:8" ht="17.399999999999999" x14ac:dyDescent="0.4">
      <c r="A32" s="24">
        <v>29</v>
      </c>
      <c r="B32" s="39">
        <v>10</v>
      </c>
      <c r="C32" s="76">
        <v>1.7000000000000001E-2</v>
      </c>
      <c r="D32" s="11"/>
    </row>
    <row r="33" spans="1:4" ht="17.399999999999999" x14ac:dyDescent="0.4">
      <c r="A33" s="24">
        <v>30</v>
      </c>
      <c r="B33" s="39">
        <v>11</v>
      </c>
      <c r="C33" s="76">
        <v>1.7999999999999999E-2</v>
      </c>
      <c r="D33" s="11"/>
    </row>
    <row r="34" spans="1:4" ht="17.399999999999999" x14ac:dyDescent="0.4">
      <c r="A34" s="24">
        <v>31</v>
      </c>
      <c r="B34" s="39">
        <v>12</v>
      </c>
      <c r="C34" s="76">
        <v>2.1000000000000001E-2</v>
      </c>
      <c r="D34" s="11"/>
    </row>
    <row r="35" spans="1:4" ht="17.399999999999999" x14ac:dyDescent="0.4">
      <c r="A35" s="24">
        <v>32</v>
      </c>
      <c r="B35" s="39">
        <v>13</v>
      </c>
      <c r="C35" s="76">
        <v>2.7E-2</v>
      </c>
      <c r="D35" s="11"/>
    </row>
    <row r="36" spans="1:4" ht="17.399999999999999" x14ac:dyDescent="0.4">
      <c r="A36" s="24">
        <v>33</v>
      </c>
      <c r="B36" s="39">
        <v>14</v>
      </c>
      <c r="C36" s="76">
        <v>3.1E-2</v>
      </c>
      <c r="D36" s="11"/>
    </row>
    <row r="37" spans="1:4" ht="17.399999999999999" x14ac:dyDescent="0.4">
      <c r="A37" s="24">
        <v>34</v>
      </c>
      <c r="B37" s="39">
        <v>15</v>
      </c>
      <c r="C37" s="76">
        <v>3.5999999999999997E-2</v>
      </c>
      <c r="D37" s="11"/>
    </row>
    <row r="38" spans="1:4" ht="17.399999999999999" x14ac:dyDescent="0.4">
      <c r="A38" s="24">
        <v>35</v>
      </c>
      <c r="B38" s="39">
        <v>16</v>
      </c>
      <c r="C38" s="76">
        <v>5.1999999999999998E-2</v>
      </c>
      <c r="D38" s="11"/>
    </row>
    <row r="39" spans="1:4" ht="17.399999999999999" x14ac:dyDescent="0.4">
      <c r="A39" s="24">
        <v>36</v>
      </c>
      <c r="B39" s="39">
        <v>17</v>
      </c>
      <c r="C39" s="76">
        <v>5.0999999999999997E-2</v>
      </c>
      <c r="D39" s="11"/>
    </row>
    <row r="40" spans="1:4" ht="17.399999999999999" x14ac:dyDescent="0.4">
      <c r="A40" s="24">
        <v>37</v>
      </c>
      <c r="B40" s="39">
        <v>18</v>
      </c>
      <c r="C40" s="76">
        <v>3.5999999999999997E-2</v>
      </c>
      <c r="D40" s="11"/>
    </row>
    <row r="41" spans="1:4" ht="17.399999999999999" x14ac:dyDescent="0.4">
      <c r="A41" s="24">
        <v>38</v>
      </c>
      <c r="B41" s="39">
        <v>19</v>
      </c>
      <c r="C41" s="76">
        <v>2.5000000000000001E-2</v>
      </c>
      <c r="D41" s="11"/>
    </row>
    <row r="42" spans="1:4" ht="17.399999999999999" x14ac:dyDescent="0.4">
      <c r="A42" s="24">
        <v>39</v>
      </c>
      <c r="B42" s="39">
        <v>20</v>
      </c>
      <c r="C42" s="76">
        <v>2.4E-2</v>
      </c>
      <c r="D42" s="11"/>
    </row>
    <row r="43" spans="1:4" ht="17.399999999999999" x14ac:dyDescent="0.4">
      <c r="A43" s="24">
        <v>40</v>
      </c>
      <c r="B43" s="39">
        <v>21</v>
      </c>
      <c r="C43" s="76">
        <v>4.4999999999999998E-2</v>
      </c>
      <c r="D43" s="11"/>
    </row>
    <row r="44" spans="1:4" ht="17.399999999999999" x14ac:dyDescent="0.4">
      <c r="A44" s="24">
        <v>41</v>
      </c>
      <c r="B44" s="39">
        <v>22</v>
      </c>
      <c r="C44" s="76">
        <v>0.11700000000000001</v>
      </c>
      <c r="D44" s="11"/>
    </row>
    <row r="45" spans="1:4" ht="17.399999999999999" x14ac:dyDescent="0.4">
      <c r="A45" s="24">
        <v>42</v>
      </c>
      <c r="B45" s="39">
        <v>23</v>
      </c>
      <c r="C45" s="76">
        <v>0.14399999999999999</v>
      </c>
      <c r="D45" s="11"/>
    </row>
    <row r="46" spans="1:4" ht="17.399999999999999" x14ac:dyDescent="0.4">
      <c r="A46" s="24">
        <v>43</v>
      </c>
      <c r="B46" s="40">
        <v>24</v>
      </c>
      <c r="C46" s="77">
        <v>0.11799999999999999</v>
      </c>
      <c r="D46" s="11"/>
    </row>
    <row r="47" spans="1:4" ht="17.399999999999999" x14ac:dyDescent="0.4">
      <c r="B47" s="2" t="s">
        <v>99</v>
      </c>
      <c r="C47" s="64">
        <f>SUM(C23:C46)</f>
        <v>1</v>
      </c>
      <c r="D47" s="59" t="str">
        <f>IF(C47&lt;&gt;1,"Attention: the sum of hourly fractions must be 1","(The sum of hourly fractions is correct)")</f>
        <v>(The sum of hourly fractions is correct)</v>
      </c>
    </row>
  </sheetData>
  <sheetProtection sheet="1" objects="1" scenarios="1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indexed="18"/>
  </sheetPr>
  <dimension ref="A1:I26"/>
  <sheetViews>
    <sheetView zoomScaleNormal="100" workbookViewId="0">
      <selection activeCell="E12" sqref="E12"/>
    </sheetView>
  </sheetViews>
  <sheetFormatPr baseColWidth="10" defaultRowHeight="13.2" x14ac:dyDescent="0.25"/>
  <cols>
    <col min="1" max="1" width="2.44140625" customWidth="1"/>
    <col min="2" max="2" width="21" customWidth="1"/>
    <col min="3" max="3" width="16.109375" customWidth="1"/>
    <col min="4" max="4" width="19.109375" customWidth="1"/>
    <col min="5" max="5" width="43.109375" customWidth="1"/>
    <col min="6" max="6" width="11.44140625" customWidth="1"/>
  </cols>
  <sheetData>
    <row r="1" spans="1:9" ht="23.4" x14ac:dyDescent="0.55000000000000004">
      <c r="A1" s="11"/>
      <c r="B1" s="79" t="s">
        <v>107</v>
      </c>
      <c r="C1" s="79"/>
      <c r="D1" s="81"/>
      <c r="E1" s="78"/>
    </row>
    <row r="2" spans="1:9" ht="17.399999999999999" x14ac:dyDescent="0.4">
      <c r="A2" s="11"/>
      <c r="B2" s="2"/>
      <c r="C2" s="2"/>
      <c r="D2" s="11"/>
      <c r="E2" s="2"/>
    </row>
    <row r="3" spans="1:9" ht="17.399999999999999" x14ac:dyDescent="0.4">
      <c r="A3" s="11"/>
      <c r="B3" s="4" t="s">
        <v>8</v>
      </c>
      <c r="C3" s="5" t="s">
        <v>9</v>
      </c>
      <c r="D3" s="5" t="s">
        <v>10</v>
      </c>
      <c r="E3" s="4" t="s">
        <v>11</v>
      </c>
    </row>
    <row r="4" spans="1:9" ht="19.5" customHeight="1" x14ac:dyDescent="0.4">
      <c r="A4" s="24">
        <v>1</v>
      </c>
      <c r="B4" s="22" t="s">
        <v>128</v>
      </c>
      <c r="C4" s="100">
        <v>6</v>
      </c>
      <c r="D4" s="33" t="s">
        <v>5</v>
      </c>
      <c r="E4" s="27" t="s">
        <v>129</v>
      </c>
      <c r="F4" s="63"/>
    </row>
    <row r="5" spans="1:9" ht="17.399999999999999" x14ac:dyDescent="0.4">
      <c r="A5" s="24">
        <v>2</v>
      </c>
      <c r="B5" s="22" t="s">
        <v>124</v>
      </c>
      <c r="C5" s="100">
        <v>0.3</v>
      </c>
      <c r="D5" s="33" t="s">
        <v>7</v>
      </c>
      <c r="E5" s="27" t="s">
        <v>126</v>
      </c>
    </row>
    <row r="6" spans="1:9" ht="20.25" customHeight="1" x14ac:dyDescent="0.4">
      <c r="A6" s="24">
        <v>3</v>
      </c>
      <c r="B6" s="22" t="s">
        <v>125</v>
      </c>
      <c r="C6" s="100">
        <v>0.85</v>
      </c>
      <c r="D6" s="33" t="s">
        <v>7</v>
      </c>
      <c r="E6" s="27" t="s">
        <v>127</v>
      </c>
    </row>
    <row r="7" spans="1:9" ht="15" x14ac:dyDescent="0.35">
      <c r="A7" s="24">
        <v>4</v>
      </c>
      <c r="D7" s="11"/>
    </row>
    <row r="8" spans="1:9" ht="17.399999999999999" x14ac:dyDescent="0.4">
      <c r="A8" s="24">
        <v>5</v>
      </c>
      <c r="B8" s="4" t="s">
        <v>137</v>
      </c>
      <c r="C8" s="5" t="s">
        <v>9</v>
      </c>
      <c r="D8" s="5" t="s">
        <v>10</v>
      </c>
      <c r="E8" s="4" t="s">
        <v>11</v>
      </c>
    </row>
    <row r="9" spans="1:9" ht="19.5" customHeight="1" x14ac:dyDescent="0.4">
      <c r="A9" s="24">
        <v>6</v>
      </c>
      <c r="B9" s="22" t="s">
        <v>144</v>
      </c>
      <c r="C9" s="100">
        <v>0</v>
      </c>
      <c r="D9" s="33" t="s">
        <v>146</v>
      </c>
      <c r="E9" s="27" t="s">
        <v>148</v>
      </c>
    </row>
    <row r="10" spans="1:9" ht="21" customHeight="1" x14ac:dyDescent="0.25">
      <c r="A10" s="24">
        <v>7</v>
      </c>
      <c r="B10" s="22" t="s">
        <v>145</v>
      </c>
      <c r="C10" s="101">
        <v>8.1699999999999995E-2</v>
      </c>
      <c r="D10" s="87" t="s">
        <v>138</v>
      </c>
      <c r="E10" s="27" t="s">
        <v>147</v>
      </c>
      <c r="I10" s="27"/>
    </row>
    <row r="11" spans="1:9" ht="19.5" customHeight="1" x14ac:dyDescent="0.25">
      <c r="A11" s="24">
        <v>8</v>
      </c>
      <c r="B11" s="22" t="s">
        <v>143</v>
      </c>
      <c r="C11" s="101">
        <v>0.246</v>
      </c>
      <c r="D11" s="87" t="s">
        <v>139</v>
      </c>
      <c r="E11" s="27" t="s">
        <v>149</v>
      </c>
    </row>
    <row r="12" spans="1:9" ht="19.5" customHeight="1" x14ac:dyDescent="0.25">
      <c r="A12" s="24">
        <v>9</v>
      </c>
      <c r="B12" s="22" t="s">
        <v>142</v>
      </c>
      <c r="C12" s="102">
        <v>0</v>
      </c>
      <c r="D12" s="87" t="s">
        <v>151</v>
      </c>
      <c r="E12" s="27" t="s">
        <v>150</v>
      </c>
    </row>
    <row r="13" spans="1:9" ht="19.5" customHeight="1" x14ac:dyDescent="0.25">
      <c r="A13" s="24">
        <v>10</v>
      </c>
      <c r="B13" s="22"/>
      <c r="C13" s="86"/>
      <c r="D13" s="87"/>
      <c r="E13" s="27"/>
    </row>
    <row r="14" spans="1:9" ht="19.5" customHeight="1" x14ac:dyDescent="0.4">
      <c r="A14" s="24">
        <v>11</v>
      </c>
      <c r="B14" s="42" t="s">
        <v>141</v>
      </c>
      <c r="C14" s="43"/>
      <c r="D14" s="87"/>
      <c r="E14" s="27"/>
    </row>
    <row r="15" spans="1:9" ht="19.5" customHeight="1" x14ac:dyDescent="0.4">
      <c r="A15" s="24">
        <v>12</v>
      </c>
      <c r="B15" s="36" t="s">
        <v>169</v>
      </c>
      <c r="C15" s="88" t="s">
        <v>140</v>
      </c>
      <c r="D15" s="87"/>
      <c r="E15" s="27"/>
    </row>
    <row r="16" spans="1:9" ht="19.5" customHeight="1" x14ac:dyDescent="0.25">
      <c r="A16" s="24">
        <v>13</v>
      </c>
      <c r="B16" s="30">
        <v>0</v>
      </c>
      <c r="C16" s="89">
        <f>($C$9+$C$10*$C$4)+($C$11+$C$12*$C$4)*B16</f>
        <v>0.49019999999999997</v>
      </c>
      <c r="D16" s="87"/>
      <c r="E16" s="27"/>
    </row>
    <row r="17" spans="1:5" ht="17.399999999999999" x14ac:dyDescent="0.35">
      <c r="A17" s="24">
        <v>14</v>
      </c>
      <c r="B17" s="31">
        <f>0.25*$C$4</f>
        <v>1.5</v>
      </c>
      <c r="C17" s="90">
        <f t="shared" ref="C17:C20" si="0">($C$9+$C$10*$C$4)+($C$11+$C$12*$C$4)*B17</f>
        <v>0.85919999999999996</v>
      </c>
      <c r="D17" s="11"/>
    </row>
    <row r="18" spans="1:5" ht="17.399999999999999" x14ac:dyDescent="0.4">
      <c r="A18" s="24">
        <v>15</v>
      </c>
      <c r="B18" s="31">
        <f>0.5*$C$4</f>
        <v>3</v>
      </c>
      <c r="C18" s="90">
        <f t="shared" si="0"/>
        <v>1.2282</v>
      </c>
      <c r="D18" s="12"/>
      <c r="E18" s="25"/>
    </row>
    <row r="19" spans="1:5" ht="17.399999999999999" x14ac:dyDescent="0.4">
      <c r="A19" s="24">
        <v>16</v>
      </c>
      <c r="B19" s="31">
        <f>0.75*$C$4</f>
        <v>4.5</v>
      </c>
      <c r="C19" s="90">
        <f t="shared" si="0"/>
        <v>1.5972</v>
      </c>
      <c r="D19" s="33"/>
    </row>
    <row r="20" spans="1:5" ht="17.399999999999999" x14ac:dyDescent="0.4">
      <c r="A20" s="24">
        <v>17</v>
      </c>
      <c r="B20" s="32">
        <f>$C$4</f>
        <v>6</v>
      </c>
      <c r="C20" s="91">
        <f t="shared" si="0"/>
        <v>1.9661999999999999</v>
      </c>
      <c r="D20" s="33"/>
      <c r="E20" s="27"/>
    </row>
    <row r="21" spans="1:5" ht="17.399999999999999" x14ac:dyDescent="0.4">
      <c r="D21" s="33"/>
      <c r="E21" s="2"/>
    </row>
    <row r="22" spans="1:5" ht="17.399999999999999" x14ac:dyDescent="0.4">
      <c r="D22" s="9"/>
      <c r="E22" s="2"/>
    </row>
    <row r="23" spans="1:5" ht="17.399999999999999" x14ac:dyDescent="0.4">
      <c r="D23" s="9"/>
      <c r="E23" s="2"/>
    </row>
    <row r="24" spans="1:5" ht="17.399999999999999" x14ac:dyDescent="0.4">
      <c r="D24" s="9"/>
    </row>
    <row r="25" spans="1:5" ht="15" x14ac:dyDescent="0.35">
      <c r="D25" s="11"/>
    </row>
    <row r="26" spans="1:5" ht="15" x14ac:dyDescent="0.35">
      <c r="D26" s="11"/>
    </row>
  </sheetData>
  <phoneticPr fontId="1" type="noConversion"/>
  <pageMargins left="0.75" right="0.75" top="1" bottom="1" header="0" footer="0"/>
  <pageSetup paperSize="9" orientation="portrait" horizontalDpi="1200" verticalDpi="12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60B79-5B4F-4121-91C8-BC9E33F0BA58}">
  <sheetPr>
    <tabColor indexed="18"/>
  </sheetPr>
  <dimension ref="A1:L20"/>
  <sheetViews>
    <sheetView topLeftCell="B1" zoomScaleNormal="100" workbookViewId="0">
      <selection activeCell="E8" sqref="E8"/>
    </sheetView>
  </sheetViews>
  <sheetFormatPr baseColWidth="10" defaultRowHeight="13.2" x14ac:dyDescent="0.25"/>
  <cols>
    <col min="1" max="1" width="2.5546875" customWidth="1"/>
    <col min="2" max="2" width="19.5546875" customWidth="1"/>
    <col min="3" max="3" width="13.88671875" customWidth="1"/>
    <col min="4" max="4" width="12" customWidth="1"/>
    <col min="5" max="5" width="53" customWidth="1"/>
  </cols>
  <sheetData>
    <row r="1" spans="1:12" ht="23.4" x14ac:dyDescent="0.55000000000000004">
      <c r="A1" s="11"/>
      <c r="B1" s="79" t="s">
        <v>153</v>
      </c>
      <c r="C1" s="79"/>
      <c r="D1" s="81"/>
      <c r="E1" s="78"/>
    </row>
    <row r="2" spans="1:12" ht="17.399999999999999" x14ac:dyDescent="0.4">
      <c r="A2" s="11"/>
      <c r="B2" s="2"/>
      <c r="C2" s="2"/>
      <c r="D2" s="11"/>
      <c r="E2" s="2"/>
    </row>
    <row r="3" spans="1:12" ht="17.399999999999999" x14ac:dyDescent="0.4">
      <c r="A3" s="11"/>
      <c r="B3" s="4" t="s">
        <v>8</v>
      </c>
      <c r="C3" s="5" t="s">
        <v>9</v>
      </c>
      <c r="D3" s="5" t="s">
        <v>10</v>
      </c>
      <c r="E3" s="4" t="s">
        <v>11</v>
      </c>
      <c r="J3" s="92"/>
      <c r="K3" s="92"/>
      <c r="L3" s="92"/>
    </row>
    <row r="4" spans="1:12" ht="19.5" customHeight="1" x14ac:dyDescent="0.4">
      <c r="A4" s="24">
        <v>1</v>
      </c>
      <c r="B4" s="22" t="s">
        <v>158</v>
      </c>
      <c r="C4" s="100">
        <v>0</v>
      </c>
      <c r="D4" s="33" t="s">
        <v>5</v>
      </c>
      <c r="E4" s="22" t="s">
        <v>168</v>
      </c>
      <c r="H4" s="63"/>
      <c r="J4" s="92"/>
      <c r="K4" s="92"/>
      <c r="L4" s="92"/>
    </row>
    <row r="5" spans="1:12" ht="22.5" customHeight="1" x14ac:dyDescent="0.4">
      <c r="A5" s="24">
        <v>2</v>
      </c>
      <c r="B5" s="22" t="s">
        <v>164</v>
      </c>
      <c r="C5" s="101">
        <v>10</v>
      </c>
      <c r="D5" s="33" t="s">
        <v>152</v>
      </c>
      <c r="E5" s="22" t="s">
        <v>154</v>
      </c>
      <c r="J5" s="92"/>
      <c r="K5" s="92"/>
      <c r="L5" s="92"/>
    </row>
    <row r="6" spans="1:12" ht="21" customHeight="1" x14ac:dyDescent="0.4">
      <c r="A6" s="24">
        <v>3</v>
      </c>
      <c r="B6" s="22" t="s">
        <v>162</v>
      </c>
      <c r="C6" s="100">
        <v>3</v>
      </c>
      <c r="D6" s="33" t="s">
        <v>152</v>
      </c>
      <c r="E6" s="22" t="s">
        <v>155</v>
      </c>
      <c r="J6" s="92"/>
      <c r="K6" s="92"/>
      <c r="L6" s="92"/>
    </row>
    <row r="7" spans="1:12" ht="17.399999999999999" x14ac:dyDescent="0.4">
      <c r="A7" s="24">
        <v>4</v>
      </c>
      <c r="B7" s="22" t="s">
        <v>163</v>
      </c>
      <c r="C7" s="100">
        <v>15</v>
      </c>
      <c r="D7" s="33" t="s">
        <v>152</v>
      </c>
      <c r="E7" s="22" t="s">
        <v>156</v>
      </c>
    </row>
    <row r="8" spans="1:12" ht="19.5" customHeight="1" x14ac:dyDescent="0.4">
      <c r="A8" s="24">
        <v>5</v>
      </c>
      <c r="B8" s="22" t="s">
        <v>166</v>
      </c>
      <c r="C8" s="99">
        <f>C4/(C5^3-C6^3)</f>
        <v>0</v>
      </c>
      <c r="D8" s="33" t="s">
        <v>165</v>
      </c>
      <c r="E8" s="22" t="s">
        <v>167</v>
      </c>
      <c r="F8" s="25"/>
    </row>
    <row r="9" spans="1:12" ht="17.399999999999999" x14ac:dyDescent="0.4">
      <c r="A9" s="24">
        <v>6</v>
      </c>
      <c r="B9" s="4" t="s">
        <v>157</v>
      </c>
      <c r="C9" s="82"/>
      <c r="D9" s="85"/>
      <c r="E9" s="82"/>
      <c r="F9" s="12"/>
      <c r="G9" s="12"/>
    </row>
    <row r="10" spans="1:12" ht="19.5" customHeight="1" x14ac:dyDescent="0.4">
      <c r="A10" s="24">
        <v>7</v>
      </c>
      <c r="B10" s="88" t="s">
        <v>159</v>
      </c>
      <c r="C10" s="88" t="s">
        <v>160</v>
      </c>
      <c r="D10" s="87"/>
      <c r="E10" s="27"/>
    </row>
    <row r="11" spans="1:12" ht="19.5" customHeight="1" x14ac:dyDescent="0.25">
      <c r="A11" s="24">
        <v>8</v>
      </c>
      <c r="B11" s="93">
        <v>0</v>
      </c>
      <c r="C11" s="89">
        <v>0</v>
      </c>
      <c r="D11" s="87"/>
      <c r="E11" s="27"/>
    </row>
    <row r="12" spans="1:12" ht="17.399999999999999" x14ac:dyDescent="0.35">
      <c r="A12" s="24">
        <v>9</v>
      </c>
      <c r="B12" s="94">
        <f>C6</f>
        <v>3</v>
      </c>
      <c r="C12" s="90">
        <v>0</v>
      </c>
      <c r="D12" s="11"/>
    </row>
    <row r="13" spans="1:12" ht="17.399999999999999" x14ac:dyDescent="0.4">
      <c r="A13" s="24">
        <v>10</v>
      </c>
      <c r="B13" s="94">
        <f>$B$12+0.2*($B$17-$B$12)</f>
        <v>4.4000000000000004</v>
      </c>
      <c r="C13" s="90">
        <f>$C$8*(B13^3-$C$6^3)</f>
        <v>0</v>
      </c>
      <c r="D13" s="12"/>
      <c r="E13" s="25"/>
    </row>
    <row r="14" spans="1:12" ht="17.399999999999999" x14ac:dyDescent="0.4">
      <c r="A14" s="24">
        <v>11</v>
      </c>
      <c r="B14" s="94">
        <f>$B$12+0.4*($B$17-$B$12)</f>
        <v>5.8000000000000007</v>
      </c>
      <c r="C14" s="90">
        <f t="shared" ref="C14:C16" si="0">$C$8*(B14^3-$C$6^3)</f>
        <v>0</v>
      </c>
      <c r="D14" s="33"/>
    </row>
    <row r="15" spans="1:12" ht="17.399999999999999" x14ac:dyDescent="0.4">
      <c r="A15" s="24">
        <v>12</v>
      </c>
      <c r="B15" s="94">
        <f>$B$12+0.6*($B$17-$B$12)</f>
        <v>7.2</v>
      </c>
      <c r="C15" s="90">
        <f t="shared" si="0"/>
        <v>0</v>
      </c>
      <c r="D15" s="33"/>
      <c r="E15" s="27"/>
    </row>
    <row r="16" spans="1:12" ht="17.399999999999999" x14ac:dyDescent="0.4">
      <c r="A16" s="24">
        <v>13</v>
      </c>
      <c r="B16" s="94">
        <f>$B$12+0.8*($B$17-$B$12)</f>
        <v>8.6000000000000014</v>
      </c>
      <c r="C16" s="90">
        <f t="shared" si="0"/>
        <v>0</v>
      </c>
      <c r="D16" s="33"/>
      <c r="E16" s="2"/>
    </row>
    <row r="17" spans="1:5" ht="17.399999999999999" x14ac:dyDescent="0.4">
      <c r="A17" s="24">
        <v>14</v>
      </c>
      <c r="B17" s="94">
        <f>C5</f>
        <v>10</v>
      </c>
      <c r="C17" s="90">
        <f>C4</f>
        <v>0</v>
      </c>
      <c r="D17" s="9"/>
      <c r="E17" s="2"/>
    </row>
    <row r="18" spans="1:5" ht="17.399999999999999" x14ac:dyDescent="0.4">
      <c r="A18" s="24">
        <v>15</v>
      </c>
      <c r="B18" s="94">
        <f>C7</f>
        <v>15</v>
      </c>
      <c r="C18" s="90">
        <f>C4</f>
        <v>0</v>
      </c>
      <c r="D18" s="9"/>
    </row>
    <row r="19" spans="1:5" ht="17.399999999999999" x14ac:dyDescent="0.35">
      <c r="A19" s="24">
        <v>16</v>
      </c>
      <c r="B19" s="95">
        <f>C7</f>
        <v>15</v>
      </c>
      <c r="C19" s="91">
        <v>0</v>
      </c>
      <c r="D19" s="11"/>
    </row>
    <row r="20" spans="1:5" ht="15" x14ac:dyDescent="0.35">
      <c r="D20" s="11"/>
    </row>
  </sheetData>
  <pageMargins left="0.7" right="0.7" top="0.75" bottom="0.75" header="0.3" footer="0.3"/>
  <pageSetup paperSize="9" orientation="portrait" horizontalDpi="1200" verticalDpi="1200" r:id="rId1"/>
  <ignoredErrors>
    <ignoredError sqref="B18" formula="1"/>
  </ignoredError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indexed="18"/>
  </sheetPr>
  <dimension ref="A1:F95"/>
  <sheetViews>
    <sheetView topLeftCell="A70" workbookViewId="0">
      <selection activeCell="B82" sqref="B82"/>
    </sheetView>
  </sheetViews>
  <sheetFormatPr baseColWidth="10" defaultRowHeight="13.2" x14ac:dyDescent="0.25"/>
  <cols>
    <col min="1" max="1" width="2.44140625" customWidth="1"/>
    <col min="2" max="2" width="22" customWidth="1"/>
    <col min="3" max="3" width="16" style="48" customWidth="1"/>
    <col min="4" max="4" width="12.109375" customWidth="1"/>
    <col min="5" max="5" width="46" customWidth="1"/>
    <col min="6" max="6" width="12.109375" customWidth="1"/>
  </cols>
  <sheetData>
    <row r="1" spans="1:5" ht="23.4" x14ac:dyDescent="0.55000000000000004">
      <c r="A1" s="11"/>
      <c r="B1" s="79" t="s">
        <v>51</v>
      </c>
      <c r="C1" s="80"/>
      <c r="D1" s="81"/>
      <c r="E1" s="78"/>
    </row>
    <row r="2" spans="1:5" ht="17.399999999999999" x14ac:dyDescent="0.4">
      <c r="A2" s="11"/>
      <c r="B2" s="2"/>
      <c r="C2" s="8"/>
      <c r="D2" s="11"/>
      <c r="E2" s="2"/>
    </row>
    <row r="3" spans="1:5" ht="17.399999999999999" x14ac:dyDescent="0.4">
      <c r="A3" s="11"/>
      <c r="B3" s="4" t="s">
        <v>190</v>
      </c>
      <c r="C3" s="5" t="s">
        <v>9</v>
      </c>
      <c r="D3" s="5" t="s">
        <v>10</v>
      </c>
      <c r="E3" s="4" t="s">
        <v>11</v>
      </c>
    </row>
    <row r="4" spans="1:5" ht="17.399999999999999" x14ac:dyDescent="0.4">
      <c r="A4" s="24">
        <v>1</v>
      </c>
      <c r="B4" s="22" t="s">
        <v>191</v>
      </c>
      <c r="C4" s="20">
        <v>12</v>
      </c>
      <c r="D4" s="33" t="s">
        <v>53</v>
      </c>
      <c r="E4" s="27" t="s">
        <v>192</v>
      </c>
    </row>
    <row r="5" spans="1:5" ht="19.8" x14ac:dyDescent="0.45">
      <c r="A5" s="24">
        <v>2</v>
      </c>
      <c r="B5" s="2" t="s">
        <v>193</v>
      </c>
      <c r="C5" s="20">
        <v>5</v>
      </c>
      <c r="D5" s="19" t="s">
        <v>62</v>
      </c>
      <c r="E5" s="2" t="s">
        <v>195</v>
      </c>
    </row>
    <row r="6" spans="1:5" ht="17.399999999999999" x14ac:dyDescent="0.4">
      <c r="A6" s="24">
        <v>3</v>
      </c>
      <c r="B6" s="2" t="s">
        <v>194</v>
      </c>
      <c r="C6" s="8">
        <v>2</v>
      </c>
      <c r="D6" s="33" t="s">
        <v>53</v>
      </c>
      <c r="E6" s="2" t="s">
        <v>199</v>
      </c>
    </row>
    <row r="7" spans="1:5" ht="19.2" x14ac:dyDescent="0.4">
      <c r="A7" s="24">
        <v>4</v>
      </c>
      <c r="B7" s="2" t="s">
        <v>197</v>
      </c>
      <c r="C7" s="8">
        <f>C6/C5</f>
        <v>0.4</v>
      </c>
      <c r="D7" s="33" t="s">
        <v>196</v>
      </c>
      <c r="E7" s="2" t="s">
        <v>201</v>
      </c>
    </row>
    <row r="8" spans="1:5" ht="19.2" x14ac:dyDescent="0.4">
      <c r="A8" s="24">
        <v>5</v>
      </c>
      <c r="B8" s="2" t="s">
        <v>198</v>
      </c>
      <c r="C8" s="8">
        <v>0</v>
      </c>
      <c r="D8" s="33" t="s">
        <v>200</v>
      </c>
      <c r="E8" s="2" t="s">
        <v>202</v>
      </c>
    </row>
    <row r="9" spans="1:5" ht="17.399999999999999" x14ac:dyDescent="0.4">
      <c r="A9" s="24">
        <v>6</v>
      </c>
      <c r="B9" s="2"/>
      <c r="C9" s="8"/>
      <c r="D9" s="11"/>
      <c r="E9" s="2"/>
    </row>
    <row r="10" spans="1:5" ht="17.399999999999999" x14ac:dyDescent="0.4">
      <c r="A10" s="24">
        <v>7</v>
      </c>
      <c r="B10" s="4" t="s">
        <v>203</v>
      </c>
      <c r="C10" s="5" t="s">
        <v>9</v>
      </c>
      <c r="D10" s="5" t="s">
        <v>10</v>
      </c>
      <c r="E10" s="4" t="s">
        <v>11</v>
      </c>
    </row>
    <row r="11" spans="1:5" ht="18.75" customHeight="1" x14ac:dyDescent="0.45">
      <c r="A11" s="24">
        <v>8</v>
      </c>
      <c r="B11" s="2" t="s">
        <v>204</v>
      </c>
      <c r="C11" s="20">
        <v>1000</v>
      </c>
      <c r="D11" s="19" t="s">
        <v>205</v>
      </c>
      <c r="E11" s="2" t="s">
        <v>215</v>
      </c>
    </row>
    <row r="12" spans="1:5" ht="17.399999999999999" x14ac:dyDescent="0.4">
      <c r="A12" s="24">
        <v>9</v>
      </c>
      <c r="B12" s="2" t="s">
        <v>206</v>
      </c>
      <c r="C12" s="8">
        <v>5</v>
      </c>
      <c r="D12" s="33" t="s">
        <v>53</v>
      </c>
      <c r="E12" s="2" t="s">
        <v>207</v>
      </c>
    </row>
    <row r="13" spans="1:5" ht="17.399999999999999" x14ac:dyDescent="0.4">
      <c r="A13" s="24">
        <v>10</v>
      </c>
      <c r="B13" s="2"/>
      <c r="C13" s="8"/>
      <c r="D13" s="11"/>
      <c r="E13" s="2"/>
    </row>
    <row r="14" spans="1:5" ht="17.399999999999999" x14ac:dyDescent="0.4">
      <c r="A14" s="24">
        <v>11</v>
      </c>
      <c r="B14" s="4" t="s">
        <v>55</v>
      </c>
      <c r="C14" s="5" t="s">
        <v>9</v>
      </c>
      <c r="D14" s="5" t="s">
        <v>10</v>
      </c>
      <c r="E14" s="4" t="s">
        <v>11</v>
      </c>
    </row>
    <row r="15" spans="1:5" ht="19.2" x14ac:dyDescent="0.4">
      <c r="A15" s="24">
        <v>12</v>
      </c>
      <c r="B15" s="2" t="s">
        <v>116</v>
      </c>
      <c r="C15" s="20">
        <v>5</v>
      </c>
      <c r="D15" s="18" t="s">
        <v>62</v>
      </c>
      <c r="E15" s="2" t="s">
        <v>60</v>
      </c>
    </row>
    <row r="16" spans="1:5" ht="17.399999999999999" x14ac:dyDescent="0.4">
      <c r="A16" s="24">
        <v>13</v>
      </c>
      <c r="B16" s="2" t="s">
        <v>117</v>
      </c>
      <c r="C16" s="20">
        <v>16</v>
      </c>
      <c r="D16" s="18" t="s">
        <v>53</v>
      </c>
      <c r="E16" s="2" t="s">
        <v>61</v>
      </c>
    </row>
    <row r="17" spans="1:6" ht="19.2" x14ac:dyDescent="0.4">
      <c r="A17" s="24">
        <v>14</v>
      </c>
      <c r="B17" s="2" t="s">
        <v>179</v>
      </c>
      <c r="C17" s="20">
        <v>998.2</v>
      </c>
      <c r="D17" s="18" t="s">
        <v>68</v>
      </c>
      <c r="E17" s="2" t="s">
        <v>70</v>
      </c>
    </row>
    <row r="18" spans="1:6" x14ac:dyDescent="0.25">
      <c r="A18" s="24">
        <v>15</v>
      </c>
    </row>
    <row r="19" spans="1:6" ht="17.399999999999999" x14ac:dyDescent="0.4">
      <c r="A19" s="24">
        <v>16</v>
      </c>
      <c r="B19" s="4" t="s">
        <v>52</v>
      </c>
      <c r="C19" s="5" t="s">
        <v>9</v>
      </c>
      <c r="D19" s="5" t="s">
        <v>10</v>
      </c>
      <c r="E19" s="4" t="s">
        <v>11</v>
      </c>
    </row>
    <row r="20" spans="1:6" ht="17.399999999999999" x14ac:dyDescent="0.4">
      <c r="A20" s="24">
        <v>17</v>
      </c>
      <c r="B20" s="22" t="s">
        <v>218</v>
      </c>
      <c r="C20" s="20">
        <v>2</v>
      </c>
      <c r="D20" s="33" t="s">
        <v>53</v>
      </c>
      <c r="E20" s="2" t="s">
        <v>214</v>
      </c>
    </row>
    <row r="21" spans="1:6" ht="17.399999999999999" x14ac:dyDescent="0.4">
      <c r="A21" s="24">
        <v>18</v>
      </c>
      <c r="B21" s="22" t="s">
        <v>208</v>
      </c>
      <c r="C21" s="20">
        <f>C4+C12</f>
        <v>17</v>
      </c>
      <c r="D21" s="33" t="s">
        <v>53</v>
      </c>
      <c r="E21" s="27" t="s">
        <v>209</v>
      </c>
    </row>
    <row r="22" spans="1:6" ht="19.2" x14ac:dyDescent="0.4">
      <c r="A22" s="24">
        <v>19</v>
      </c>
      <c r="B22" s="22" t="s">
        <v>210</v>
      </c>
      <c r="C22" s="20">
        <f>C7</f>
        <v>0.4</v>
      </c>
      <c r="D22" s="33" t="s">
        <v>196</v>
      </c>
      <c r="E22" s="27" t="s">
        <v>211</v>
      </c>
    </row>
    <row r="23" spans="1:6" ht="19.2" x14ac:dyDescent="0.4">
      <c r="A23" s="24">
        <v>20</v>
      </c>
      <c r="B23" s="22" t="s">
        <v>212</v>
      </c>
      <c r="C23" s="20">
        <f>(C20/(C15^2))+C8</f>
        <v>0.08</v>
      </c>
      <c r="D23" s="33" t="s">
        <v>200</v>
      </c>
      <c r="E23" s="2" t="s">
        <v>213</v>
      </c>
    </row>
    <row r="24" spans="1:6" ht="15" x14ac:dyDescent="0.35">
      <c r="A24" s="24">
        <v>21</v>
      </c>
      <c r="D24" s="11"/>
      <c r="F24" s="63"/>
    </row>
    <row r="25" spans="1:6" ht="17.399999999999999" x14ac:dyDescent="0.4">
      <c r="A25" s="24">
        <v>22</v>
      </c>
      <c r="B25" s="42" t="s">
        <v>52</v>
      </c>
      <c r="C25" s="43"/>
      <c r="D25" s="11"/>
    </row>
    <row r="26" spans="1:6" ht="19.2" x14ac:dyDescent="0.4">
      <c r="A26" s="24">
        <v>23</v>
      </c>
      <c r="B26" s="37" t="s">
        <v>69</v>
      </c>
      <c r="C26" s="103" t="s">
        <v>54</v>
      </c>
      <c r="D26" s="11"/>
    </row>
    <row r="27" spans="1:6" ht="17.399999999999999" x14ac:dyDescent="0.4">
      <c r="A27" s="24">
        <v>24</v>
      </c>
      <c r="B27" s="50">
        <v>0</v>
      </c>
      <c r="C27" s="44">
        <f>$C$21+$C$22*B27+$C$23*(B27^2)</f>
        <v>17</v>
      </c>
      <c r="D27" s="11"/>
    </row>
    <row r="28" spans="1:6" ht="17.399999999999999" x14ac:dyDescent="0.4">
      <c r="A28" s="24">
        <v>25</v>
      </c>
      <c r="B28" s="51">
        <f>0.15*$C$15</f>
        <v>0.75</v>
      </c>
      <c r="C28" s="45">
        <f t="shared" ref="C28:C36" si="0">$C$21+$C$22*B28+$C$23*(B28^2)</f>
        <v>17.345000000000002</v>
      </c>
      <c r="D28" s="11"/>
    </row>
    <row r="29" spans="1:6" ht="17.399999999999999" x14ac:dyDescent="0.4">
      <c r="A29" s="24">
        <v>26</v>
      </c>
      <c r="B29" s="51">
        <f>0.3*$C$15</f>
        <v>1.5</v>
      </c>
      <c r="C29" s="45">
        <f t="shared" si="0"/>
        <v>17.78</v>
      </c>
      <c r="D29" s="11"/>
    </row>
    <row r="30" spans="1:6" ht="17.399999999999999" x14ac:dyDescent="0.4">
      <c r="A30" s="24">
        <v>27</v>
      </c>
      <c r="B30" s="51">
        <f>0.45*$C$15</f>
        <v>2.25</v>
      </c>
      <c r="C30" s="45">
        <f t="shared" si="0"/>
        <v>18.305</v>
      </c>
      <c r="D30" s="11"/>
    </row>
    <row r="31" spans="1:6" ht="17.399999999999999" x14ac:dyDescent="0.4">
      <c r="A31" s="24">
        <v>28</v>
      </c>
      <c r="B31" s="51">
        <f>0.6*$C$15</f>
        <v>3</v>
      </c>
      <c r="C31" s="45">
        <f t="shared" si="0"/>
        <v>18.919999999999998</v>
      </c>
      <c r="D31" s="11"/>
    </row>
    <row r="32" spans="1:6" ht="17.399999999999999" x14ac:dyDescent="0.4">
      <c r="A32" s="24">
        <v>29</v>
      </c>
      <c r="B32" s="51">
        <f>0.75*$C$15</f>
        <v>3.75</v>
      </c>
      <c r="C32" s="45">
        <f t="shared" si="0"/>
        <v>19.625</v>
      </c>
      <c r="D32" s="11"/>
    </row>
    <row r="33" spans="1:5" ht="17.399999999999999" x14ac:dyDescent="0.4">
      <c r="A33" s="24">
        <v>30</v>
      </c>
      <c r="B33" s="51">
        <f>0.9*$C$15</f>
        <v>4.5</v>
      </c>
      <c r="C33" s="45">
        <f t="shared" si="0"/>
        <v>20.420000000000002</v>
      </c>
      <c r="D33" s="11"/>
    </row>
    <row r="34" spans="1:5" ht="17.399999999999999" x14ac:dyDescent="0.4">
      <c r="A34" s="24">
        <v>31</v>
      </c>
      <c r="B34" s="51">
        <f>1.05*$C$15</f>
        <v>5.25</v>
      </c>
      <c r="C34" s="45">
        <f t="shared" si="0"/>
        <v>21.305</v>
      </c>
      <c r="D34" s="11"/>
    </row>
    <row r="35" spans="1:5" ht="17.399999999999999" x14ac:dyDescent="0.4">
      <c r="A35" s="24">
        <v>32</v>
      </c>
      <c r="B35" s="51">
        <f>1.2*$C$15</f>
        <v>6</v>
      </c>
      <c r="C35" s="45">
        <f t="shared" si="0"/>
        <v>22.279999999999998</v>
      </c>
      <c r="D35" s="11"/>
    </row>
    <row r="36" spans="1:5" ht="17.399999999999999" x14ac:dyDescent="0.4">
      <c r="A36" s="24">
        <v>33</v>
      </c>
      <c r="B36" s="52">
        <f>1.35*$C$15</f>
        <v>6.75</v>
      </c>
      <c r="C36" s="46">
        <f t="shared" si="0"/>
        <v>23.344999999999999</v>
      </c>
      <c r="D36" s="11"/>
    </row>
    <row r="37" spans="1:5" x14ac:dyDescent="0.25">
      <c r="A37" s="24">
        <v>34</v>
      </c>
    </row>
    <row r="38" spans="1:5" ht="17.399999999999999" x14ac:dyDescent="0.4">
      <c r="A38" s="24">
        <v>35</v>
      </c>
      <c r="B38" s="4" t="s">
        <v>63</v>
      </c>
      <c r="C38" s="5"/>
      <c r="D38" s="5"/>
      <c r="E38" s="4"/>
    </row>
    <row r="39" spans="1:5" x14ac:dyDescent="0.25">
      <c r="A39" s="24">
        <v>36</v>
      </c>
    </row>
    <row r="40" spans="1:5" ht="19.2" x14ac:dyDescent="0.4">
      <c r="A40" s="24">
        <v>37</v>
      </c>
      <c r="B40" s="34" t="s">
        <v>71</v>
      </c>
      <c r="C40" s="34" t="s">
        <v>64</v>
      </c>
      <c r="D40" s="18"/>
      <c r="E40" s="2"/>
    </row>
    <row r="41" spans="1:5" ht="17.399999999999999" x14ac:dyDescent="0.4">
      <c r="A41" s="24">
        <v>38</v>
      </c>
      <c r="B41" s="38">
        <v>1.2E-2</v>
      </c>
      <c r="C41" s="34">
        <v>24.75</v>
      </c>
      <c r="D41" s="18"/>
      <c r="E41" s="2"/>
    </row>
    <row r="42" spans="1:5" ht="17.399999999999999" x14ac:dyDescent="0.4">
      <c r="A42" s="24">
        <v>39</v>
      </c>
      <c r="B42" s="39">
        <v>1.0249999999999999</v>
      </c>
      <c r="C42" s="35">
        <v>23.67</v>
      </c>
      <c r="D42" s="18"/>
      <c r="E42" s="2"/>
    </row>
    <row r="43" spans="1:5" ht="17.399999999999999" x14ac:dyDescent="0.4">
      <c r="A43" s="24">
        <v>40</v>
      </c>
      <c r="B43" s="39">
        <v>2.0129999999999999</v>
      </c>
      <c r="C43" s="35">
        <v>22.21</v>
      </c>
      <c r="D43" s="18"/>
      <c r="E43" s="2"/>
    </row>
    <row r="44" spans="1:5" ht="17.399999999999999" x14ac:dyDescent="0.4">
      <c r="A44" s="24">
        <v>41</v>
      </c>
      <c r="B44" s="39">
        <v>3.0030000000000001</v>
      </c>
      <c r="C44" s="35">
        <v>20.73</v>
      </c>
      <c r="D44" s="18"/>
      <c r="E44" s="2"/>
    </row>
    <row r="45" spans="1:5" ht="17.399999999999999" x14ac:dyDescent="0.4">
      <c r="A45" s="24">
        <v>42</v>
      </c>
      <c r="B45" s="39">
        <v>4.0190000000000001</v>
      </c>
      <c r="C45" s="35">
        <v>18.690000000000001</v>
      </c>
      <c r="D45" s="18"/>
      <c r="E45" s="2"/>
    </row>
    <row r="46" spans="1:5" ht="17.399999999999999" x14ac:dyDescent="0.4">
      <c r="A46" s="24">
        <v>43</v>
      </c>
      <c r="B46" s="39">
        <v>4.976</v>
      </c>
      <c r="C46" s="35">
        <v>15.85</v>
      </c>
      <c r="D46" s="18"/>
      <c r="E46" s="2"/>
    </row>
    <row r="47" spans="1:5" ht="17.399999999999999" x14ac:dyDescent="0.4">
      <c r="A47" s="24">
        <v>44</v>
      </c>
      <c r="B47" s="39">
        <v>6.0049999999999999</v>
      </c>
      <c r="C47" s="35">
        <v>11.44</v>
      </c>
      <c r="D47" s="18"/>
      <c r="E47" s="2"/>
    </row>
    <row r="48" spans="1:5" ht="17.399999999999999" x14ac:dyDescent="0.4">
      <c r="A48" s="24">
        <v>45</v>
      </c>
      <c r="B48" s="39"/>
      <c r="C48" s="35"/>
      <c r="D48" s="18"/>
      <c r="E48" s="2"/>
    </row>
    <row r="49" spans="1:5" ht="17.399999999999999" x14ac:dyDescent="0.4">
      <c r="A49" s="24">
        <v>46</v>
      </c>
      <c r="B49" s="39"/>
      <c r="C49" s="35"/>
      <c r="D49" s="18"/>
      <c r="E49" s="2"/>
    </row>
    <row r="50" spans="1:5" ht="17.399999999999999" x14ac:dyDescent="0.4">
      <c r="A50" s="24">
        <v>47</v>
      </c>
      <c r="B50" s="40"/>
      <c r="C50" s="41"/>
      <c r="D50" s="18"/>
      <c r="E50" s="2"/>
    </row>
    <row r="51" spans="1:5" ht="17.399999999999999" x14ac:dyDescent="0.4">
      <c r="A51" s="24">
        <v>48</v>
      </c>
      <c r="B51" s="8"/>
      <c r="C51" s="20"/>
      <c r="D51" s="18"/>
      <c r="E51" s="2"/>
    </row>
    <row r="52" spans="1:5" ht="17.399999999999999" x14ac:dyDescent="0.4">
      <c r="A52" s="24">
        <v>49</v>
      </c>
      <c r="B52" s="4" t="s">
        <v>119</v>
      </c>
      <c r="C52" s="5"/>
      <c r="D52" s="5"/>
      <c r="E52" s="4"/>
    </row>
    <row r="53" spans="1:5" ht="17.399999999999999" x14ac:dyDescent="0.4">
      <c r="A53" s="24">
        <v>50</v>
      </c>
      <c r="B53" s="49" t="s">
        <v>120</v>
      </c>
      <c r="C53" s="20"/>
      <c r="D53" s="18"/>
      <c r="E53" s="2"/>
    </row>
    <row r="54" spans="1:5" ht="19.2" x14ac:dyDescent="0.4">
      <c r="A54" s="24">
        <v>51</v>
      </c>
      <c r="B54" s="34" t="s">
        <v>71</v>
      </c>
      <c r="C54" s="34" t="s">
        <v>121</v>
      </c>
      <c r="D54" s="18"/>
      <c r="E54" s="2"/>
    </row>
    <row r="55" spans="1:5" ht="17.399999999999999" x14ac:dyDescent="0.4">
      <c r="A55" s="24">
        <v>52</v>
      </c>
      <c r="B55" s="38">
        <v>1.2E-2</v>
      </c>
      <c r="C55" s="34">
        <v>0.253</v>
      </c>
      <c r="D55" s="18"/>
      <c r="E55" s="2"/>
    </row>
    <row r="56" spans="1:5" ht="17.399999999999999" x14ac:dyDescent="0.4">
      <c r="A56" s="24">
        <v>53</v>
      </c>
      <c r="B56" s="39">
        <v>1.0249999999999999</v>
      </c>
      <c r="C56" s="35">
        <v>0.33600000000000002</v>
      </c>
      <c r="D56" s="18"/>
      <c r="E56" s="2"/>
    </row>
    <row r="57" spans="1:5" ht="17.399999999999999" x14ac:dyDescent="0.4">
      <c r="A57" s="24">
        <v>54</v>
      </c>
      <c r="B57" s="39">
        <v>2.0129999999999999</v>
      </c>
      <c r="C57" s="35">
        <v>0.41399999999999998</v>
      </c>
      <c r="D57" s="18"/>
      <c r="E57" s="2"/>
    </row>
    <row r="58" spans="1:5" ht="17.399999999999999" x14ac:dyDescent="0.4">
      <c r="A58" s="24">
        <v>55</v>
      </c>
      <c r="B58" s="39">
        <v>3.0030000000000001</v>
      </c>
      <c r="C58" s="35">
        <v>0.48099999999999998</v>
      </c>
      <c r="D58" s="18"/>
      <c r="E58" s="2"/>
    </row>
    <row r="59" spans="1:5" ht="17.399999999999999" x14ac:dyDescent="0.4">
      <c r="A59" s="24">
        <v>56</v>
      </c>
      <c r="B59" s="39">
        <v>4.0190000000000001</v>
      </c>
      <c r="C59" s="35">
        <v>0.53</v>
      </c>
      <c r="D59" s="18"/>
      <c r="E59" s="2"/>
    </row>
    <row r="60" spans="1:5" ht="17.399999999999999" x14ac:dyDescent="0.4">
      <c r="A60" s="24">
        <v>57</v>
      </c>
      <c r="B60" s="39">
        <v>4.976</v>
      </c>
      <c r="C60" s="35">
        <v>0.55300000000000005</v>
      </c>
      <c r="D60" s="18"/>
      <c r="E60" s="2"/>
    </row>
    <row r="61" spans="1:5" ht="17.399999999999999" x14ac:dyDescent="0.4">
      <c r="A61" s="24">
        <v>58</v>
      </c>
      <c r="B61" s="39">
        <v>6.0049999999999999</v>
      </c>
      <c r="C61" s="35">
        <v>0.54900000000000004</v>
      </c>
      <c r="D61" s="18"/>
      <c r="E61" s="2"/>
    </row>
    <row r="62" spans="1:5" ht="17.399999999999999" x14ac:dyDescent="0.4">
      <c r="A62" s="24">
        <v>59</v>
      </c>
      <c r="B62" s="39"/>
      <c r="C62" s="35"/>
      <c r="D62" s="18"/>
      <c r="E62" s="2"/>
    </row>
    <row r="63" spans="1:5" ht="17.399999999999999" x14ac:dyDescent="0.4">
      <c r="A63" s="24">
        <v>60</v>
      </c>
      <c r="B63" s="39"/>
      <c r="C63" s="35"/>
      <c r="D63" s="18"/>
      <c r="E63" s="2"/>
    </row>
    <row r="64" spans="1:5" ht="17.399999999999999" x14ac:dyDescent="0.4">
      <c r="A64" s="24">
        <v>61</v>
      </c>
      <c r="B64" s="40"/>
      <c r="C64" s="41"/>
      <c r="D64" s="18"/>
      <c r="E64" s="2"/>
    </row>
    <row r="65" spans="1:6" ht="17.399999999999999" x14ac:dyDescent="0.4">
      <c r="A65" s="24">
        <v>62</v>
      </c>
      <c r="B65" s="8"/>
      <c r="C65" s="20"/>
      <c r="D65" s="18"/>
      <c r="E65" s="2"/>
    </row>
    <row r="66" spans="1:6" ht="17.399999999999999" x14ac:dyDescent="0.4">
      <c r="A66" s="24">
        <v>63</v>
      </c>
      <c r="B66" s="49" t="s">
        <v>122</v>
      </c>
      <c r="C66" s="20"/>
      <c r="D66" s="18"/>
      <c r="E66" s="2"/>
    </row>
    <row r="67" spans="1:6" ht="19.2" x14ac:dyDescent="0.4">
      <c r="A67" s="24">
        <v>64</v>
      </c>
      <c r="B67" s="34" t="s">
        <v>71</v>
      </c>
      <c r="C67" s="34" t="s">
        <v>58</v>
      </c>
      <c r="D67" s="18"/>
      <c r="E67" s="2"/>
    </row>
    <row r="68" spans="1:6" ht="17.399999999999999" x14ac:dyDescent="0.4">
      <c r="A68" s="24">
        <v>65</v>
      </c>
      <c r="B68" s="38">
        <v>1.2E-2</v>
      </c>
      <c r="C68" s="34">
        <v>9.8000000000000004E-2</v>
      </c>
      <c r="D68" s="18"/>
      <c r="E68" s="2"/>
    </row>
    <row r="69" spans="1:6" ht="17.399999999999999" x14ac:dyDescent="0.4">
      <c r="A69" s="24">
        <v>66</v>
      </c>
      <c r="B69" s="39">
        <v>1.0249999999999999</v>
      </c>
      <c r="C69" s="35">
        <v>0.17599999999999999</v>
      </c>
      <c r="D69" s="18"/>
      <c r="E69" s="2"/>
    </row>
    <row r="70" spans="1:6" ht="17.399999999999999" x14ac:dyDescent="0.4">
      <c r="A70" s="24">
        <v>67</v>
      </c>
      <c r="B70" s="39">
        <v>2.0129999999999999</v>
      </c>
      <c r="C70" s="35">
        <v>0.248</v>
      </c>
      <c r="D70" s="18"/>
      <c r="E70" s="2"/>
    </row>
    <row r="71" spans="1:6" ht="17.399999999999999" x14ac:dyDescent="0.4">
      <c r="A71" s="24">
        <v>68</v>
      </c>
      <c r="B71" s="39">
        <v>3.0030000000000001</v>
      </c>
      <c r="C71" s="35">
        <v>0.309</v>
      </c>
      <c r="D71" s="18"/>
      <c r="E71" s="2"/>
    </row>
    <row r="72" spans="1:6" ht="17.399999999999999" x14ac:dyDescent="0.4">
      <c r="A72" s="24">
        <v>69</v>
      </c>
      <c r="B72" s="39">
        <v>4.0190000000000001</v>
      </c>
      <c r="C72" s="35">
        <v>0.35199999999999998</v>
      </c>
      <c r="D72" s="18"/>
      <c r="E72" s="2"/>
    </row>
    <row r="73" spans="1:6" ht="17.399999999999999" x14ac:dyDescent="0.4">
      <c r="A73" s="24">
        <v>70</v>
      </c>
      <c r="B73" s="39">
        <v>4.976</v>
      </c>
      <c r="C73" s="35">
        <v>0.371</v>
      </c>
      <c r="D73" s="18"/>
      <c r="E73" s="2"/>
    </row>
    <row r="74" spans="1:6" ht="17.399999999999999" x14ac:dyDescent="0.4">
      <c r="A74" s="24">
        <v>71</v>
      </c>
      <c r="B74" s="39">
        <v>6.0049999999999999</v>
      </c>
      <c r="C74" s="35">
        <v>0.36799999999999999</v>
      </c>
      <c r="D74" s="18"/>
      <c r="E74" s="2"/>
    </row>
    <row r="75" spans="1:6" ht="17.399999999999999" x14ac:dyDescent="0.4">
      <c r="A75" s="24">
        <v>72</v>
      </c>
      <c r="B75" s="39"/>
      <c r="C75" s="35"/>
      <c r="D75" s="18"/>
      <c r="E75" s="2"/>
    </row>
    <row r="76" spans="1:6" ht="17.399999999999999" x14ac:dyDescent="0.4">
      <c r="A76" s="24">
        <v>73</v>
      </c>
      <c r="B76" s="39"/>
      <c r="C76" s="35"/>
      <c r="D76" s="18"/>
      <c r="E76" s="2"/>
    </row>
    <row r="77" spans="1:6" ht="17.399999999999999" x14ac:dyDescent="0.4">
      <c r="A77" s="24">
        <v>74</v>
      </c>
      <c r="B77" s="40"/>
      <c r="C77" s="41"/>
      <c r="D77" s="18"/>
      <c r="E77" s="2"/>
    </row>
    <row r="78" spans="1:6" ht="17.399999999999999" x14ac:dyDescent="0.4">
      <c r="A78" s="24">
        <v>75</v>
      </c>
      <c r="B78" s="8"/>
      <c r="C78" s="20"/>
      <c r="D78" s="18"/>
      <c r="E78" s="2"/>
    </row>
    <row r="79" spans="1:6" ht="17.399999999999999" x14ac:dyDescent="0.4">
      <c r="A79" s="24">
        <v>76</v>
      </c>
      <c r="B79" s="4" t="s">
        <v>56</v>
      </c>
      <c r="C79" s="5" t="s">
        <v>9</v>
      </c>
      <c r="D79" s="5" t="s">
        <v>10</v>
      </c>
      <c r="E79" s="4" t="s">
        <v>11</v>
      </c>
      <c r="F79" s="25"/>
    </row>
    <row r="80" spans="1:6" ht="17.399999999999999" x14ac:dyDescent="0.4">
      <c r="A80" s="24">
        <v>77</v>
      </c>
      <c r="B80" s="2" t="s">
        <v>118</v>
      </c>
      <c r="C80" s="8">
        <v>0.75</v>
      </c>
      <c r="D80" s="33" t="s">
        <v>5</v>
      </c>
      <c r="E80" s="2" t="s">
        <v>65</v>
      </c>
    </row>
    <row r="81" spans="1:5" ht="17.399999999999999" x14ac:dyDescent="0.4">
      <c r="A81" s="24">
        <v>78</v>
      </c>
      <c r="B81" s="2" t="s">
        <v>66</v>
      </c>
      <c r="C81" s="8">
        <v>2900</v>
      </c>
      <c r="D81" s="33" t="s">
        <v>57</v>
      </c>
      <c r="E81" s="2" t="s">
        <v>161</v>
      </c>
    </row>
    <row r="82" spans="1:5" ht="37.5" customHeight="1" x14ac:dyDescent="0.25">
      <c r="A82" s="24">
        <v>79</v>
      </c>
      <c r="B82" s="96" t="s">
        <v>219</v>
      </c>
      <c r="C82" s="97">
        <v>70</v>
      </c>
      <c r="D82" s="87" t="s">
        <v>6</v>
      </c>
      <c r="E82" s="98" t="s">
        <v>74</v>
      </c>
    </row>
    <row r="83" spans="1:5" ht="17.399999999999999" x14ac:dyDescent="0.4">
      <c r="A83" s="24">
        <v>80</v>
      </c>
      <c r="B83" s="2" t="s">
        <v>72</v>
      </c>
      <c r="C83" s="8">
        <v>120</v>
      </c>
      <c r="D83" s="33" t="s">
        <v>6</v>
      </c>
      <c r="E83" s="2" t="s">
        <v>73</v>
      </c>
    </row>
    <row r="84" spans="1:5" ht="17.399999999999999" x14ac:dyDescent="0.4">
      <c r="A84" s="24">
        <v>81</v>
      </c>
      <c r="B84" s="2"/>
      <c r="C84" s="8"/>
      <c r="D84" s="33"/>
      <c r="E84" s="2"/>
    </row>
    <row r="85" spans="1:5" ht="17.399999999999999" x14ac:dyDescent="0.4">
      <c r="A85" s="24">
        <v>82</v>
      </c>
      <c r="B85" s="42" t="s">
        <v>59</v>
      </c>
      <c r="C85" s="43"/>
      <c r="D85" s="12"/>
      <c r="E85" s="25"/>
    </row>
    <row r="86" spans="1:5" ht="17.399999999999999" x14ac:dyDescent="0.4">
      <c r="A86" s="24">
        <v>83</v>
      </c>
      <c r="B86" s="36" t="s">
        <v>58</v>
      </c>
      <c r="C86" s="36" t="s">
        <v>47</v>
      </c>
      <c r="D86" s="33"/>
    </row>
    <row r="87" spans="1:5" ht="17.399999999999999" x14ac:dyDescent="0.4">
      <c r="A87" s="24">
        <v>84</v>
      </c>
      <c r="B87" s="30">
        <v>0</v>
      </c>
      <c r="C87" s="34">
        <v>0</v>
      </c>
      <c r="D87" s="33"/>
      <c r="E87" s="27"/>
    </row>
    <row r="88" spans="1:5" ht="17.399999999999999" x14ac:dyDescent="0.4">
      <c r="A88" s="24">
        <v>85</v>
      </c>
      <c r="B88" s="31">
        <v>9.8000000000000004E-2</v>
      </c>
      <c r="C88" s="47">
        <v>38.6</v>
      </c>
      <c r="D88" s="33"/>
      <c r="E88" s="2"/>
    </row>
    <row r="89" spans="1:5" ht="17.399999999999999" x14ac:dyDescent="0.4">
      <c r="A89" s="24">
        <v>86</v>
      </c>
      <c r="B89" s="31">
        <v>0.17599999999999999</v>
      </c>
      <c r="C89" s="47">
        <v>52.4</v>
      </c>
      <c r="D89" s="9"/>
      <c r="E89" s="2"/>
    </row>
    <row r="90" spans="1:5" ht="17.399999999999999" x14ac:dyDescent="0.4">
      <c r="A90" s="24">
        <v>87</v>
      </c>
      <c r="B90" s="31">
        <v>0.371</v>
      </c>
      <c r="C90" s="47">
        <v>67.2</v>
      </c>
      <c r="D90" s="9"/>
      <c r="E90" s="2"/>
    </row>
    <row r="91" spans="1:5" ht="17.399999999999999" x14ac:dyDescent="0.4">
      <c r="A91" s="24">
        <v>88</v>
      </c>
      <c r="B91" s="31">
        <v>0.5</v>
      </c>
      <c r="C91" s="47">
        <v>71</v>
      </c>
      <c r="D91" s="9"/>
    </row>
    <row r="92" spans="1:5" ht="17.399999999999999" x14ac:dyDescent="0.4">
      <c r="A92" s="24">
        <v>89</v>
      </c>
      <c r="B92" s="31">
        <v>0.7</v>
      </c>
      <c r="C92" s="35">
        <v>73</v>
      </c>
      <c r="D92" s="9"/>
      <c r="E92" s="2"/>
    </row>
    <row r="93" spans="1:5" ht="17.399999999999999" x14ac:dyDescent="0.4">
      <c r="A93" s="24">
        <v>90</v>
      </c>
      <c r="B93" s="31">
        <v>0.9</v>
      </c>
      <c r="C93" s="35">
        <v>72</v>
      </c>
      <c r="D93" s="9"/>
      <c r="E93" s="2"/>
    </row>
    <row r="94" spans="1:5" ht="17.399999999999999" x14ac:dyDescent="0.4">
      <c r="A94" s="24">
        <v>91</v>
      </c>
      <c r="B94" s="32"/>
      <c r="C94" s="41"/>
      <c r="D94" s="9"/>
      <c r="E94" s="2"/>
    </row>
    <row r="95" spans="1:5" ht="15" x14ac:dyDescent="0.35">
      <c r="D95" s="11"/>
    </row>
  </sheetData>
  <phoneticPr fontId="1" type="noConversion"/>
  <dataValidations count="2">
    <dataValidation type="decimal" allowBlank="1" showInputMessage="1" showErrorMessage="1" prompt="0-100%" sqref="C82" xr:uid="{00000000-0002-0000-1000-000000000000}">
      <formula1>0</formula1>
      <formula2>100</formula2>
    </dataValidation>
    <dataValidation type="decimal" allowBlank="1" showInputMessage="1" showErrorMessage="1" prompt="100-150%" sqref="C83" xr:uid="{00000000-0002-0000-1000-000001000000}">
      <formula1>100</formula1>
      <formula2>150</formula2>
    </dataValidation>
  </dataValidations>
  <pageMargins left="0.75" right="0.75" top="1" bottom="1" header="0" footer="0"/>
  <pageSetup paperSize="9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5">
    <tabColor rgb="FF000080"/>
  </sheetPr>
  <dimension ref="A1:E11"/>
  <sheetViews>
    <sheetView zoomScaleNormal="100" workbookViewId="0">
      <selection activeCell="B4" sqref="B4:B11"/>
    </sheetView>
  </sheetViews>
  <sheetFormatPr baseColWidth="10" defaultRowHeight="13.2" x14ac:dyDescent="0.25"/>
  <cols>
    <col min="1" max="1" width="2.6640625" customWidth="1"/>
    <col min="2" max="2" width="37.109375" bestFit="1" customWidth="1"/>
    <col min="3" max="3" width="9.109375" customWidth="1"/>
    <col min="4" max="4" width="8.109375" customWidth="1"/>
    <col min="5" max="5" width="120.77734375" customWidth="1"/>
  </cols>
  <sheetData>
    <row r="1" spans="1:5" ht="23.4" x14ac:dyDescent="0.55000000000000004">
      <c r="B1" s="79" t="s">
        <v>34</v>
      </c>
      <c r="C1" s="79"/>
      <c r="D1" s="81"/>
      <c r="E1" s="78"/>
    </row>
    <row r="2" spans="1:5" ht="17.399999999999999" x14ac:dyDescent="0.4">
      <c r="B2" s="2"/>
      <c r="C2" s="2"/>
      <c r="D2" s="11"/>
      <c r="E2" s="2"/>
    </row>
    <row r="3" spans="1:5" ht="17.399999999999999" x14ac:dyDescent="0.4">
      <c r="B3" s="4" t="s">
        <v>8</v>
      </c>
      <c r="C3" s="5" t="s">
        <v>9</v>
      </c>
      <c r="D3" s="5" t="s">
        <v>10</v>
      </c>
      <c r="E3" s="4" t="s">
        <v>11</v>
      </c>
    </row>
    <row r="4" spans="1:5" ht="17.399999999999999" x14ac:dyDescent="0.35">
      <c r="A4" s="24">
        <v>1</v>
      </c>
      <c r="B4" s="22" t="s">
        <v>48</v>
      </c>
      <c r="C4" s="20">
        <v>4</v>
      </c>
      <c r="D4" s="28" t="s">
        <v>7</v>
      </c>
      <c r="E4" s="21" t="s">
        <v>263</v>
      </c>
    </row>
    <row r="5" spans="1:5" ht="20.25" customHeight="1" x14ac:dyDescent="0.35">
      <c r="A5" s="24">
        <v>2</v>
      </c>
      <c r="B5" s="22" t="s">
        <v>109</v>
      </c>
      <c r="C5" s="20">
        <v>1</v>
      </c>
      <c r="D5" s="28" t="s">
        <v>7</v>
      </c>
      <c r="E5" s="21" t="s">
        <v>110</v>
      </c>
    </row>
    <row r="6" spans="1:5" ht="17.25" customHeight="1" x14ac:dyDescent="0.35">
      <c r="A6" s="24">
        <v>3</v>
      </c>
      <c r="B6" s="22" t="s">
        <v>44</v>
      </c>
      <c r="C6" s="20">
        <v>2</v>
      </c>
      <c r="D6" s="18" t="s">
        <v>7</v>
      </c>
      <c r="E6" s="21" t="s">
        <v>115</v>
      </c>
    </row>
    <row r="7" spans="1:5" ht="17.399999999999999" x14ac:dyDescent="0.35">
      <c r="A7" s="24">
        <v>4</v>
      </c>
      <c r="B7" s="22" t="s">
        <v>114</v>
      </c>
      <c r="C7" s="20">
        <v>1</v>
      </c>
      <c r="D7" s="18" t="s">
        <v>7</v>
      </c>
      <c r="E7" s="21" t="s">
        <v>67</v>
      </c>
    </row>
    <row r="8" spans="1:5" ht="17.399999999999999" x14ac:dyDescent="0.35">
      <c r="A8" s="24">
        <v>5</v>
      </c>
      <c r="B8" s="22" t="s">
        <v>42</v>
      </c>
      <c r="C8" s="20">
        <v>0.2</v>
      </c>
      <c r="D8" s="18" t="s">
        <v>7</v>
      </c>
      <c r="E8" s="21" t="s">
        <v>42</v>
      </c>
    </row>
    <row r="9" spans="1:5" ht="17.399999999999999" x14ac:dyDescent="0.45">
      <c r="A9" s="24">
        <v>6</v>
      </c>
      <c r="B9" s="22" t="s">
        <v>43</v>
      </c>
      <c r="C9" s="20">
        <v>600</v>
      </c>
      <c r="D9" s="23" t="s">
        <v>45</v>
      </c>
      <c r="E9" s="21" t="s">
        <v>43</v>
      </c>
    </row>
    <row r="10" spans="1:5" ht="17.399999999999999" x14ac:dyDescent="0.25">
      <c r="A10" s="24">
        <v>7</v>
      </c>
      <c r="B10" s="22" t="s">
        <v>314</v>
      </c>
      <c r="C10" s="86">
        <v>25</v>
      </c>
      <c r="D10" s="112" t="s">
        <v>244</v>
      </c>
      <c r="E10" s="113" t="s">
        <v>283</v>
      </c>
    </row>
    <row r="11" spans="1:5" ht="17.399999999999999" x14ac:dyDescent="0.45">
      <c r="A11" s="24">
        <v>8</v>
      </c>
      <c r="B11" s="22" t="s">
        <v>315</v>
      </c>
      <c r="C11" s="20">
        <v>8.0000000000000002E-3</v>
      </c>
      <c r="D11" s="23" t="s">
        <v>7</v>
      </c>
      <c r="E11" s="21" t="s">
        <v>285</v>
      </c>
    </row>
  </sheetData>
  <phoneticPr fontId="1" type="noConversion"/>
  <dataValidations xWindow="382" yWindow="242" count="6">
    <dataValidation type="whole" allowBlank="1" showInputMessage="1" showErrorMessage="1" errorTitle="Application" error="1&lt;=Value&lt;=4" promptTitle="PV application" prompt="1. Grid-connected_x000a_2. Stand-alone PV system_x000a_3. Hybrid DC bus_x000a_4. Hybrid AC bus (Work in progress)_x000a_5. Water pumping" sqref="C4" xr:uid="{00000000-0002-0000-1100-000000000000}">
      <formula1>1</formula1>
      <formula2>5</formula2>
    </dataValidation>
    <dataValidation type="whole" allowBlank="1" showInputMessage="1" showErrorMessage="1" errorTitle="Value" error="1, 2, 3 or 4" promptTitle="Dust degree" prompt="1  Clean (0%)_x000a_2  Low (2%) _x000a_3  Medium (3%)_x000a_4  High (8%)_x000a_" sqref="C5" xr:uid="{00000000-0002-0000-1100-000003000000}">
      <formula1>1</formula1>
      <formula2>4</formula2>
    </dataValidation>
    <dataValidation type="whole" allowBlank="1" showInputMessage="1" showErrorMessage="1" errorTitle="Value" error="1, 2 or 3" promptTitle="Diffuse model" prompt="1 Isotropic_x000a_2 Anisotropic (Hay)_x000a_3 Anisotropic (Perez)_x000a_" sqref="C6" xr:uid="{00000000-0002-0000-1100-000005000000}">
      <formula1>1</formula1>
      <formula2>3</formula2>
    </dataValidation>
    <dataValidation type="decimal" allowBlank="1" showInputMessage="1" showErrorMessage="1" errorTitle="Value" error="0 to 0,5" promptTitle="Ground reflectance" prompt="0 to 0,5" sqref="C8" xr:uid="{00000000-0002-0000-1100-00000A000000}">
      <formula1>0</formula1>
      <formula2>0.5</formula2>
    </dataValidation>
    <dataValidation type="whole" allowBlank="1" showInputMessage="1" showErrorMessage="1" errorTitle="Value" error="0 to 4" promptTitle="Monthly diffuse correlation" prompt="1-Page_x000a_2-Collares-Pereira_x000a_3-Erbs_x000a_4-Macagnan" sqref="C7" xr:uid="{00000000-0002-0000-1100-00000D000000}">
      <formula1>1</formula1>
      <formula2>4</formula2>
    </dataValidation>
    <dataValidation type="whole" allowBlank="1" showInputMessage="1" showErrorMessage="1" errorTitle="Values" error="60 to 3600 seconds" promptTitle="Simulation step" prompt="60 to 3600 seconds" sqref="C9" xr:uid="{00000000-0002-0000-1200-000001000000}">
      <formula1>60</formula1>
      <formula2>3600</formula2>
    </dataValidation>
  </dataValidations>
  <pageMargins left="0.75" right="0.75" top="1" bottom="1" header="0" footer="0"/>
  <pageSetup paperSize="9" orientation="portrait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5D025-F50C-4EAA-9066-F81672642391}">
  <sheetPr>
    <tabColor rgb="FF000080"/>
  </sheetPr>
  <dimension ref="A1:E12"/>
  <sheetViews>
    <sheetView workbookViewId="0">
      <selection activeCell="E16" sqref="E16"/>
    </sheetView>
  </sheetViews>
  <sheetFormatPr baseColWidth="10" defaultRowHeight="13.2" x14ac:dyDescent="0.25"/>
  <cols>
    <col min="1" max="1" width="2.33203125" bestFit="1" customWidth="1"/>
    <col min="2" max="2" width="52.5546875" bestFit="1" customWidth="1"/>
    <col min="3" max="3" width="10.77734375" customWidth="1"/>
    <col min="4" max="4" width="14.33203125" customWidth="1"/>
    <col min="5" max="5" width="65.5546875" customWidth="1"/>
  </cols>
  <sheetData>
    <row r="1" spans="1:5" ht="23.4" x14ac:dyDescent="0.55000000000000004">
      <c r="B1" s="79" t="s">
        <v>265</v>
      </c>
      <c r="C1" s="79"/>
      <c r="D1" s="81"/>
      <c r="E1" s="78"/>
    </row>
    <row r="2" spans="1:5" ht="17.399999999999999" x14ac:dyDescent="0.4">
      <c r="B2" s="2"/>
      <c r="C2" s="2"/>
      <c r="D2" s="11"/>
      <c r="E2" s="2"/>
    </row>
    <row r="3" spans="1:5" ht="17.399999999999999" x14ac:dyDescent="0.4">
      <c r="B3" s="4" t="s">
        <v>8</v>
      </c>
      <c r="C3" s="5" t="s">
        <v>9</v>
      </c>
      <c r="D3" s="5" t="s">
        <v>10</v>
      </c>
      <c r="E3" s="4" t="s">
        <v>11</v>
      </c>
    </row>
    <row r="4" spans="1:5" ht="17.399999999999999" x14ac:dyDescent="0.45">
      <c r="A4" s="24">
        <v>1</v>
      </c>
      <c r="B4" s="22" t="s">
        <v>266</v>
      </c>
      <c r="C4" s="20">
        <v>0.3</v>
      </c>
      <c r="D4" s="23" t="s">
        <v>267</v>
      </c>
      <c r="E4" s="21" t="s">
        <v>268</v>
      </c>
    </row>
    <row r="5" spans="1:5" ht="17.399999999999999" x14ac:dyDescent="0.45">
      <c r="A5" s="24">
        <v>2</v>
      </c>
      <c r="B5" s="22" t="s">
        <v>269</v>
      </c>
      <c r="C5" s="20">
        <v>0.15</v>
      </c>
      <c r="D5" s="23" t="s">
        <v>270</v>
      </c>
      <c r="E5" s="21" t="s">
        <v>271</v>
      </c>
    </row>
    <row r="6" spans="1:5" ht="17.399999999999999" x14ac:dyDescent="0.45">
      <c r="A6" s="24">
        <v>3</v>
      </c>
      <c r="B6" s="22" t="s">
        <v>272</v>
      </c>
      <c r="C6" s="20">
        <v>200</v>
      </c>
      <c r="D6" s="23" t="s">
        <v>273</v>
      </c>
      <c r="E6" s="21" t="s">
        <v>274</v>
      </c>
    </row>
    <row r="7" spans="1:5" ht="17.399999999999999" x14ac:dyDescent="0.45">
      <c r="A7" s="24">
        <v>4</v>
      </c>
      <c r="B7" s="22" t="s">
        <v>275</v>
      </c>
      <c r="C7" s="20">
        <v>300</v>
      </c>
      <c r="D7" s="23" t="s">
        <v>276</v>
      </c>
      <c r="E7" s="21" t="s">
        <v>277</v>
      </c>
    </row>
    <row r="8" spans="1:5" ht="17.399999999999999" x14ac:dyDescent="0.45">
      <c r="A8" s="24">
        <v>5</v>
      </c>
      <c r="B8" s="22" t="s">
        <v>286</v>
      </c>
      <c r="C8" s="20">
        <v>0</v>
      </c>
      <c r="D8" s="23" t="s">
        <v>276</v>
      </c>
      <c r="E8" s="21" t="s">
        <v>287</v>
      </c>
    </row>
    <row r="9" spans="1:5" ht="16.8" customHeight="1" x14ac:dyDescent="0.45">
      <c r="A9" s="24">
        <v>6</v>
      </c>
      <c r="B9" s="22" t="s">
        <v>290</v>
      </c>
      <c r="C9" s="20">
        <v>1.5</v>
      </c>
      <c r="D9" s="23" t="s">
        <v>291</v>
      </c>
      <c r="E9" s="21" t="s">
        <v>292</v>
      </c>
    </row>
    <row r="10" spans="1:5" ht="17.399999999999999" x14ac:dyDescent="0.45">
      <c r="A10" s="24">
        <v>7</v>
      </c>
      <c r="B10" s="22" t="s">
        <v>278</v>
      </c>
      <c r="C10" s="20">
        <v>1000</v>
      </c>
      <c r="D10" s="23" t="s">
        <v>279</v>
      </c>
      <c r="E10" s="21" t="s">
        <v>280</v>
      </c>
    </row>
    <row r="11" spans="1:5" ht="17.399999999999999" x14ac:dyDescent="0.45">
      <c r="A11" s="24">
        <v>8</v>
      </c>
      <c r="B11" s="22" t="s">
        <v>281</v>
      </c>
      <c r="C11" s="20">
        <v>0.01</v>
      </c>
      <c r="D11" s="23" t="s">
        <v>7</v>
      </c>
      <c r="E11" s="21" t="s">
        <v>288</v>
      </c>
    </row>
    <row r="12" spans="1:5" ht="17.399999999999999" x14ac:dyDescent="0.45">
      <c r="A12" s="24">
        <v>9</v>
      </c>
      <c r="B12" s="22" t="s">
        <v>282</v>
      </c>
      <c r="C12" s="20">
        <v>0.05</v>
      </c>
      <c r="D12" s="23" t="s">
        <v>7</v>
      </c>
      <c r="E12" s="21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Site</vt:lpstr>
      <vt:lpstr>Meteo</vt:lpstr>
      <vt:lpstr>PVgen</vt:lpstr>
      <vt:lpstr>Inverter</vt:lpstr>
      <vt:lpstr>GridInverter</vt:lpstr>
      <vt:lpstr>Wiring</vt:lpstr>
      <vt:lpstr>Battery</vt:lpstr>
      <vt:lpstr>BatteryMKBM</vt:lpstr>
      <vt:lpstr>Load</vt:lpstr>
      <vt:lpstr>Genset</vt:lpstr>
      <vt:lpstr>Wind</vt:lpstr>
      <vt:lpstr>Pumping</vt:lpstr>
      <vt:lpstr>Options</vt:lpstr>
      <vt:lpstr>Economics</vt:lpstr>
    </vt:vector>
  </TitlesOfParts>
  <Company>IES-DEF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Alumnos</dc:creator>
  <cp:lastModifiedBy>ITAHISA HERNANDEZ FUMERO</cp:lastModifiedBy>
  <cp:lastPrinted>2014-04-13T10:38:15Z</cp:lastPrinted>
  <dcterms:created xsi:type="dcterms:W3CDTF">2009-11-12T13:58:58Z</dcterms:created>
  <dcterms:modified xsi:type="dcterms:W3CDTF">2026-09-13T16:46:59Z</dcterms:modified>
</cp:coreProperties>
</file>