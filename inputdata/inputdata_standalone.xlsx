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5A2381F9-1A13-434E-A595-C1679A970878}" xr6:coauthVersionLast="47" xr6:coauthVersionMax="47" xr10:uidLastSave="{00000000-0000-0000-0000-000000000000}"/>
  <bookViews>
    <workbookView xWindow="-108" yWindow="-108" windowWidth="23256" windowHeight="12720" tabRatio="833" activeTab="3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<sst xmlns="http://schemas.openxmlformats.org/spreadsheetml/2006/main" count="442" uniqueCount="307">
  <si>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</si>
  <si>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</si>
  <si>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</si>
  <si>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</si>
  <si>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</si>
  <si>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</si>
  <si>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</si>
  <si>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</si>
  <si>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</si>
  <si>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</si>
  <si>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</si>
  <si>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</si>
  <si>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</si>
  <si>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</si>
  <si>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</si>
  <si>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</si>
  <si>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</si>
  <si>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</si>
  <si>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</si>
  <si>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</si>
  <si>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</si>
  <si>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</si>
  <si>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</si>
  <si>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</si>
  <si>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</si>
  <si>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</si>
  <si>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</si>
  <si>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</si>
  <si>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</si>
  <si>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</si>
  <si>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</si>
  <si>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</si>
  <si>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</si>
  <si>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</si>
  <si>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</si>
  <si>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</si>
  <si>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</si>
  <si>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</si>
  <si>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</si>
  <si>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</si>
  <si>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</si>
  <si>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</si>
  <si>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</si>
  <si>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</si>
  <si>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</si>
  <si>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</si>
  <si>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</si>
  <si>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</si>
  <si>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</si>
  <si>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</si>
  <si>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</si>
  <si>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</si>
  <si>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</si>
  <si>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</si>
  <si>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</si>
  <si>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</si>
  <si>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</si>
  <si>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</si>
  <si>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</si>
  <si>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</si>
  <si>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</si>
  <si>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</si>
  <si>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</si>
  <si>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</si>
  <si>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</si>
  <si>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</si>
  <si>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</si>
  <si>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</si>
  <si>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</si>
  <si>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</si>
  <si>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</si>
  <si>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</si>
  <si>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</si>
  <si>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</si>
  <si>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</si>
  <si>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</si>
  <si>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</si>
  <si>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</si>
  <si>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</si>
  <si>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</si>
  <si>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</si>
  <si>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</si>
  <si>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</si>
  <si>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</si>
  <si>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</si>
  <si>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</si>
  <si>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</si>
  <si>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</si>
  <si>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</si>
  <si>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</si>
  <si>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</si>
  <si>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</si>
  <si>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</si>
  <si>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</si>
  <si>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</si>
  <si>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</si>
  <si>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</si>
  <si>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</si>
  <si>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</si>
  <si>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</si>
  <si>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</si>
  <si>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</si>
  <si>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</si>
  <si>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</si>
  <si>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</si>
  <si>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</si>
  <si>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</si>
  <si>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</si>
  <si>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</si>
  <si>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</si>
  <si>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</si>
  <si>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</si>
  <si>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</si>
  <si>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</si>
  <si>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</si>
  <si>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</si>
  <si>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</si>
  <si>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</si>
  <si>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</si>
  <si>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</si>
  <si>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</si>
  <si>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</si>
  <si>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</si>
  <si>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</si>
  <si>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</si>
  <si>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</si>
  <si>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</si>
  <si>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</si>
  <si>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</si>
  <si>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</si>
  <si>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</si>
  <si>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</si>
  <si>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</si>
  <si>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</si>
  <si>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</si>
  <si>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</si>
  <si>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</si>
  <si>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</si>
  <si>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</si>
  <si>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</si>
  <si>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</si>
  <si>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</si>
  <si>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</si>
  <si>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</si>
  <si>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</si>
  <si>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</si>
  <si>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</si>
  <si>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</si>
  <si>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</si>
  <si>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</si>
  <si>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</si>
  <si>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</si>
  <si>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</si>
  <si>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</si>
  <si>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</si>
  <si>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</si>
  <si>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</si>
  <si>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</si>
  <si>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</si>
  <si>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</si>
  <si>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</si>
  <si>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</si>
  <si>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</si>
  <si>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</si>
  <si>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</si>
  <si>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</si>
  <si>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</si>
  <si>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</si>
  <si>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</si>
  <si>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</si>
  <si>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</si>
  <si>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</si>
  <si>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</si>
  <si>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</si>
  <si>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</si>
  <si>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</si>
  <si>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</si>
  <si>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</si>
  <si>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</si>
  <si>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</si>
  <si>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</si>
  <si>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</si>
  <si>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</si>
  <si>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</si>
  <si>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</si>
  <si>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</si>
  <si>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</si>
  <si>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</si>
  <si>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</si>
  <si>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</si>
  <si>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</si>
  <si>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</si>
  <si>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</si>
  <si>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</si>
  <si>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</si>
  <si>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</si>
  <si>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</si>
  <si>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</si>
  <si>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</si>
  <si>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</si>
  <si>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</si>
  <si>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</si>
  <si>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</si>
  <si>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</si>
  <si>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</si>
  <si>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</si>
  <si>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</si>
  <si>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</si>
  <si>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</si>
  <si>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</si>
  <si>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</si>
  <si>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</si>
  <si>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</si>
  <si>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</si>
  <si>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</si>
  <si>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</si>
  <si>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</si>
  <si>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</si>
  <si>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</si>
  <si>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</si>
  <si>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</si>
  <si>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</si>
  <si>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BatteryModel</t>
  </si>
  <si>
    <t>BatteryType</t>
  </si>
  <si>
    <t>MKBM_c</t>
  </si>
  <si>
    <t>MKBM_k</t>
  </si>
  <si>
    <t>MKBM_eta_ch</t>
  </si>
  <si>
    <t>MKBM_eta_dis</t>
  </si>
  <si>
    <t>MKBM_Pmax_ch</t>
  </si>
  <si>
    <t>MKBM_Pmax_dis</t>
  </si>
  <si>
    <t>MKBM_LifeCycles</t>
  </si>
  <si>
    <t>MKBM_LifeDoD</t>
  </si>
  <si>
    <t>BATTERY MKBM (Stand-alone PV systems)</t>
  </si>
  <si>
    <t>1/h</t>
  </si>
  <si>
    <t>Enable MKBM model (1 = Original Simple Model, 2 = MKBM)</t>
  </si>
  <si>
    <t>Battery type: 1 (Lead-acid), 2 (Li-ion LFP), 3 (NMC), 4 (LTO), 5 (Custom)</t>
  </si>
  <si>
    <t>Capacity ratio, e.g., 0,85</t>
  </si>
  <si>
    <t>Charging efficiency, e.g., 0,95</t>
  </si>
  <si>
    <t>Discharge efficiency, e.g., 0,95</t>
  </si>
  <si>
    <t>Max. charging power</t>
  </si>
  <si>
    <t>Rate constant, e.g., 2,5</t>
  </si>
  <si>
    <t>Max. discharge power</t>
  </si>
  <si>
    <t>Cycle life, e.g., 6000</t>
  </si>
  <si>
    <t>Nominal Depth of Discharge (DoD) for cycling, e.g., 0,8</t>
  </si>
  <si>
    <t>MKBM_CalendarLife</t>
  </si>
  <si>
    <t>years</t>
  </si>
  <si>
    <t>cicles</t>
  </si>
  <si>
    <t>Years taken to reach an SOH of 80%</t>
  </si>
  <si>
    <t>°C</t>
  </si>
  <si>
    <t>Minimum charge temp (e.g. 0)</t>
  </si>
  <si>
    <t>Minimum discharge temp</t>
  </si>
  <si>
    <t>Maximum charge temp</t>
  </si>
  <si>
    <t>Maximum discharge temp</t>
  </si>
  <si>
    <t>MKBM_SelfDischarge</t>
  </si>
  <si>
    <t>%/month</t>
  </si>
  <si>
    <t>Self-discharge rate. This slowly depletes the energy tanks hour by hour</t>
  </si>
  <si>
    <t>Module_Name</t>
  </si>
  <si>
    <t>Exact name from CEC Inverters.csv</t>
  </si>
  <si>
    <t>Exact name from CEC Modules.csv</t>
  </si>
  <si>
    <t>Ablytek 6MN6A275</t>
  </si>
  <si>
    <t>Number of modules in the system</t>
  </si>
  <si>
    <t>Exact name from PVlite_Batteries.csv</t>
  </si>
  <si>
    <t>Number of batteries in parallel in the system</t>
  </si>
  <si>
    <t>PV application: (1: Grid, 2: Stand-alone, 3: Hybrid DC, 4: Hybrid AC, 5: Pumping)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</si>
  <si>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</si>
  <si>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</si>
  <si>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</si>
  <si>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</si>
  <si>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</si>
  <si>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</si>
  <si>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</si>
  <si>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</si>
  <si>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</si>
  <si>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</si>
  <si>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</si>
  <si>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</si>
  <si>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</si>
  <si>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</si>
  <si>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</si>
  <si>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</si>
  <si>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</si>
  <si>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</si>
  <si>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</si>
  <si>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</si>
  <si>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</si>
  <si>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</si>
  <si>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</si>
  <si>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</si>
  <si>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</si>
  <si>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</si>
  <si>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</si>
  <si>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Shenzhen Growatt New Energy Co - Ltd : SPH 4000TL BL-US [240V]</t>
  </si>
  <si>
    <t>Pylontech US2000C</t>
  </si>
  <si>
    <t>Set to 2 to use PVlite database (1 = Manual Mode, 2 = Use Database)</t>
  </si>
  <si>
    <t>Use_Database_PV</t>
  </si>
  <si>
    <t>Use_Database_Inv</t>
  </si>
  <si>
    <t>Inverter_Name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</si>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</sst>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1" fontId="4" fillId="0" borderId="0" xfId="0" applyNumberFormat="1" applyFont="1" applyAlignment="1">
      <alignment horizontal="center" vertical="top"/>
    </xf>
    <xf numFmtId="0" fontId="19" fillId="5" borderId="0" xfId="0" applyFont="1" applyFill="1"/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39805684055118112"/>
              <c:y val="0.854859657248726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6" sqref="E6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zoomScaleNormal="100" workbookViewId="0">
      <selection activeCell="C4" sqref="C4"/>
    </sheetView>
  </sheetViews>
  <sheetFormatPr baseColWidth="10" defaultRowHeight="13.2" x14ac:dyDescent="0.25"/>
  <cols>
    <col min="1" max="1" width="2.44140625" customWidth="1"/>
    <col min="2" max="2" width="22.6640625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s="63" customFormat="1" ht="17.399999999999999" x14ac:dyDescent="0.4">
      <c r="A4" s="6">
        <v>1</v>
      </c>
      <c r="B4" s="110" t="s">
        <v>294</v>
      </c>
      <c r="C4" s="111">
        <v>2</v>
      </c>
      <c r="D4" s="111"/>
      <c r="E4" s="110" t="s">
        <v>293</v>
      </c>
      <c r="F4" s="110"/>
      <c r="G4" s="110"/>
      <c r="H4" s="110"/>
      <c r="I4" s="110"/>
      <c r="J4" s="110"/>
      <c r="K4" s="110"/>
      <c r="L4" s="110"/>
      <c r="M4" s="109"/>
      <c r="N4" s="109"/>
      <c r="O4" s="109"/>
    </row>
    <row r="5" spans="1:15" s="63" customFormat="1" ht="17.399999999999999" x14ac:dyDescent="0.4">
      <c r="A5" s="6">
        <v>2</v>
      </c>
      <c r="B5" s="110" t="s">
        <v>256</v>
      </c>
      <c r="C5" s="112" t="s">
        <v>259</v>
      </c>
      <c r="D5" s="111"/>
      <c r="E5" s="110" t="s">
        <v>258</v>
      </c>
      <c r="F5" s="110"/>
      <c r="G5" s="110"/>
      <c r="H5" s="110"/>
      <c r="I5" s="110"/>
      <c r="J5" s="110"/>
      <c r="K5" s="110"/>
      <c r="L5" s="110"/>
      <c r="M5" s="109"/>
      <c r="N5" s="109"/>
      <c r="O5" s="109"/>
    </row>
    <row r="6" spans="1:15" s="63" customFormat="1" ht="17.399999999999999" x14ac:dyDescent="0.4">
      <c r="A6" s="6">
        <v>3</v>
      </c>
      <c r="B6" s="110" t="s">
        <v>306</v>
      </c>
      <c r="C6" s="111">
        <v>10</v>
      </c>
      <c r="D6" s="111"/>
      <c r="E6" s="110" t="s">
        <v>260</v>
      </c>
      <c r="F6" s="110"/>
      <c r="G6" s="110"/>
      <c r="H6" s="110"/>
      <c r="I6" s="110"/>
      <c r="J6" s="110"/>
      <c r="K6" s="110"/>
      <c r="L6" s="110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10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2"/>
    </row>
    <row r="10" spans="1:15" ht="19.2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  <c r="F10" s="2"/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82"/>
      <c r="N11" s="82"/>
      <c r="O11" s="82"/>
    </row>
    <row r="12" spans="1:15" ht="15.75" customHeight="1" x14ac:dyDescent="0.4">
      <c r="A12" s="6">
        <v>9</v>
      </c>
      <c r="B12" s="2" t="s">
        <v>185</v>
      </c>
      <c r="C12" s="8">
        <v>1</v>
      </c>
      <c r="E12" s="2" t="s">
        <v>187</v>
      </c>
    </row>
    <row r="13" spans="1:15" ht="15.75" customHeight="1" x14ac:dyDescent="0.4">
      <c r="A13" s="6">
        <v>10</v>
      </c>
      <c r="B13" s="2"/>
      <c r="C13" s="8"/>
      <c r="E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5"/>
      <c r="G14" s="25"/>
      <c r="H14" s="25"/>
      <c r="I14" s="25"/>
      <c r="J14" s="25"/>
      <c r="K14" s="25"/>
      <c r="L14" s="25"/>
    </row>
    <row r="15" spans="1:15" ht="17.399999999999999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  <c r="F16" s="2"/>
    </row>
    <row r="17" spans="1:12" ht="17.399999999999999" x14ac:dyDescent="0.4">
      <c r="A17" s="6">
        <v>14</v>
      </c>
      <c r="B17" s="2"/>
      <c r="C17" s="8"/>
      <c r="D17" s="9"/>
      <c r="E17" s="2"/>
      <c r="F17" s="2"/>
    </row>
    <row r="18" spans="1:12" ht="18.75" customHeight="1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  <c r="F21" s="25"/>
      <c r="G21" s="25"/>
      <c r="H21" s="25"/>
      <c r="I21" s="25"/>
      <c r="J21" s="25"/>
      <c r="K21" s="25"/>
      <c r="L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abSelected="1" topLeftCell="A2" zoomScaleNormal="100" workbookViewId="0">
      <selection activeCell="C4" sqref="C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69.5546875" bestFit="1" customWidth="1"/>
    <col min="4" max="4" width="8.33203125" customWidth="1"/>
    <col min="5" max="5" width="78.109375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10" t="s">
        <v>295</v>
      </c>
      <c r="C4" s="111">
        <v>2</v>
      </c>
      <c r="D4" s="111"/>
      <c r="E4" s="110" t="s">
        <v>293</v>
      </c>
    </row>
    <row r="5" spans="1:5" ht="17.399999999999999" x14ac:dyDescent="0.4">
      <c r="A5" s="24">
        <v>2</v>
      </c>
      <c r="B5" s="110" t="s">
        <v>296</v>
      </c>
      <c r="C5" s="112" t="s">
        <v>291</v>
      </c>
      <c r="D5" s="111"/>
      <c r="E5" s="110" t="s">
        <v>257</v>
      </c>
    </row>
    <row r="6" spans="1:5" ht="17.399999999999999" x14ac:dyDescent="0.45">
      <c r="A6" s="24">
        <v>3</v>
      </c>
      <c r="B6" s="22" t="s">
        <v>112</v>
      </c>
      <c r="C6" s="20">
        <v>8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8</v>
      </c>
      <c r="D7" s="23" t="s">
        <v>5</v>
      </c>
      <c r="E7" s="2" t="s">
        <v>37</v>
      </c>
    </row>
    <row r="8" spans="1:5" ht="18.75" customHeight="1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8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7.25" customHeight="1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0.1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BE56-9C13-4916-8FF7-6301612FEB8F}">
  <sheetPr>
    <tabColor indexed="18"/>
  </sheetPr>
  <dimension ref="A1:E22"/>
  <sheetViews>
    <sheetView topLeftCell="A2" workbookViewId="0">
      <selection activeCell="C4" sqref="C4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8867187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232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6">
        <v>1</v>
      </c>
      <c r="B4" s="110" t="s">
        <v>297</v>
      </c>
      <c r="C4" s="111">
        <v>2</v>
      </c>
      <c r="D4" s="111"/>
      <c r="E4" s="110" t="s">
        <v>293</v>
      </c>
    </row>
    <row r="5" spans="1:5" ht="17.399999999999999" x14ac:dyDescent="0.4">
      <c r="A5" s="6">
        <v>2</v>
      </c>
      <c r="B5" s="110" t="s">
        <v>298</v>
      </c>
      <c r="C5" s="112" t="s">
        <v>292</v>
      </c>
      <c r="D5" s="111"/>
      <c r="E5" s="110" t="s">
        <v>261</v>
      </c>
    </row>
    <row r="6" spans="1:5" ht="17.399999999999999" x14ac:dyDescent="0.4">
      <c r="A6" s="6">
        <v>3</v>
      </c>
      <c r="B6" s="110" t="s">
        <v>299</v>
      </c>
      <c r="C6" s="111">
        <v>4</v>
      </c>
      <c r="D6" s="111"/>
      <c r="E6" s="110" t="s">
        <v>262</v>
      </c>
    </row>
    <row r="7" spans="1:5" ht="17.399999999999999" x14ac:dyDescent="0.45">
      <c r="A7" s="6">
        <v>4</v>
      </c>
      <c r="B7" s="105" t="s">
        <v>222</v>
      </c>
      <c r="C7" s="108">
        <v>2</v>
      </c>
      <c r="D7" s="19" t="s">
        <v>7</v>
      </c>
      <c r="E7" s="107" t="s">
        <v>234</v>
      </c>
    </row>
    <row r="8" spans="1:5" ht="17.399999999999999" x14ac:dyDescent="0.45">
      <c r="A8" s="6">
        <v>5</v>
      </c>
      <c r="B8" s="105" t="s">
        <v>223</v>
      </c>
      <c r="C8" s="106">
        <v>2</v>
      </c>
      <c r="D8" s="19" t="s">
        <v>7</v>
      </c>
      <c r="E8" s="107" t="s">
        <v>235</v>
      </c>
    </row>
    <row r="9" spans="1:5" ht="17.399999999999999" x14ac:dyDescent="0.45">
      <c r="A9" s="6">
        <v>6</v>
      </c>
      <c r="B9" s="105" t="s">
        <v>224</v>
      </c>
      <c r="C9" s="106">
        <v>0.85</v>
      </c>
      <c r="D9" s="19" t="s">
        <v>7</v>
      </c>
      <c r="E9" s="107" t="s">
        <v>236</v>
      </c>
    </row>
    <row r="10" spans="1:5" ht="17.399999999999999" x14ac:dyDescent="0.45">
      <c r="A10" s="6">
        <v>7</v>
      </c>
      <c r="B10" s="105" t="s">
        <v>225</v>
      </c>
      <c r="C10" s="106">
        <v>2.5</v>
      </c>
      <c r="D10" s="19" t="s">
        <v>233</v>
      </c>
      <c r="E10" s="107" t="s">
        <v>240</v>
      </c>
    </row>
    <row r="11" spans="1:5" ht="17.399999999999999" x14ac:dyDescent="0.45">
      <c r="A11" s="6">
        <v>8</v>
      </c>
      <c r="B11" s="105" t="s">
        <v>226</v>
      </c>
      <c r="C11" s="106">
        <v>0.95</v>
      </c>
      <c r="D11" s="19" t="s">
        <v>7</v>
      </c>
      <c r="E11" s="107" t="s">
        <v>237</v>
      </c>
    </row>
    <row r="12" spans="1:5" ht="17.399999999999999" x14ac:dyDescent="0.45">
      <c r="A12" s="6">
        <v>9</v>
      </c>
      <c r="B12" s="105" t="s">
        <v>227</v>
      </c>
      <c r="C12" s="106">
        <v>0.95</v>
      </c>
      <c r="D12" s="19" t="s">
        <v>7</v>
      </c>
      <c r="E12" s="107" t="s">
        <v>238</v>
      </c>
    </row>
    <row r="13" spans="1:5" ht="17.399999999999999" x14ac:dyDescent="0.45">
      <c r="A13" s="6">
        <v>10</v>
      </c>
      <c r="B13" s="105" t="s">
        <v>228</v>
      </c>
      <c r="C13" s="106">
        <v>8</v>
      </c>
      <c r="D13" s="19" t="s">
        <v>5</v>
      </c>
      <c r="E13" s="107" t="s">
        <v>239</v>
      </c>
    </row>
    <row r="14" spans="1:5" ht="17.399999999999999" x14ac:dyDescent="0.45">
      <c r="A14" s="6">
        <v>11</v>
      </c>
      <c r="B14" s="105" t="s">
        <v>229</v>
      </c>
      <c r="C14" s="106">
        <v>8</v>
      </c>
      <c r="D14" s="19" t="s">
        <v>5</v>
      </c>
      <c r="E14" s="107" t="s">
        <v>241</v>
      </c>
    </row>
    <row r="15" spans="1:5" ht="17.399999999999999" x14ac:dyDescent="0.45">
      <c r="A15" s="6">
        <v>12</v>
      </c>
      <c r="B15" s="105" t="s">
        <v>230</v>
      </c>
      <c r="C15" s="106">
        <v>6000</v>
      </c>
      <c r="D15" s="19" t="s">
        <v>246</v>
      </c>
      <c r="E15" s="107" t="s">
        <v>242</v>
      </c>
    </row>
    <row r="16" spans="1:5" ht="17.399999999999999" x14ac:dyDescent="0.45">
      <c r="A16" s="6">
        <v>13</v>
      </c>
      <c r="B16" s="105" t="s">
        <v>231</v>
      </c>
      <c r="C16" s="106">
        <v>0.8</v>
      </c>
      <c r="D16" s="19" t="s">
        <v>7</v>
      </c>
      <c r="E16" s="107" t="s">
        <v>243</v>
      </c>
    </row>
    <row r="17" spans="1:5" ht="17.399999999999999" x14ac:dyDescent="0.45">
      <c r="A17" s="6">
        <v>14</v>
      </c>
      <c r="B17" s="105" t="s">
        <v>244</v>
      </c>
      <c r="C17" s="106">
        <v>10</v>
      </c>
      <c r="D17" s="19" t="s">
        <v>245</v>
      </c>
      <c r="E17" s="107" t="s">
        <v>247</v>
      </c>
    </row>
    <row r="18" spans="1:5" ht="17.399999999999999" x14ac:dyDescent="0.45">
      <c r="A18" s="6">
        <v>15</v>
      </c>
      <c r="B18" s="105" t="s">
        <v>300</v>
      </c>
      <c r="C18" s="106">
        <v>0</v>
      </c>
      <c r="D18" s="19" t="s">
        <v>248</v>
      </c>
      <c r="E18" s="107" t="s">
        <v>249</v>
      </c>
    </row>
    <row r="19" spans="1:5" ht="17.399999999999999" x14ac:dyDescent="0.45">
      <c r="A19" s="6">
        <v>16</v>
      </c>
      <c r="B19" s="105" t="s">
        <v>301</v>
      </c>
      <c r="C19" s="106">
        <v>45</v>
      </c>
      <c r="D19" s="19" t="s">
        <v>248</v>
      </c>
      <c r="E19" s="107" t="s">
        <v>251</v>
      </c>
    </row>
    <row r="20" spans="1:5" ht="17.399999999999999" x14ac:dyDescent="0.45">
      <c r="A20" s="6">
        <v>17</v>
      </c>
      <c r="B20" s="105" t="s">
        <v>302</v>
      </c>
      <c r="C20" s="106">
        <v>-20</v>
      </c>
      <c r="D20" s="19" t="s">
        <v>248</v>
      </c>
      <c r="E20" s="107" t="s">
        <v>250</v>
      </c>
    </row>
    <row r="21" spans="1:5" ht="17.399999999999999" x14ac:dyDescent="0.45">
      <c r="A21" s="6">
        <v>18</v>
      </c>
      <c r="B21" s="105" t="s">
        <v>303</v>
      </c>
      <c r="C21" s="106">
        <v>60</v>
      </c>
      <c r="D21" s="19" t="s">
        <v>248</v>
      </c>
      <c r="E21" s="107" t="s">
        <v>252</v>
      </c>
    </row>
    <row r="22" spans="1:5" ht="17.399999999999999" x14ac:dyDescent="0.45">
      <c r="A22" s="6">
        <v>19</v>
      </c>
      <c r="B22" s="105" t="s">
        <v>253</v>
      </c>
      <c r="C22" s="106">
        <v>3</v>
      </c>
      <c r="D22" s="19" t="s">
        <v>254</v>
      </c>
      <c r="E22" s="107" t="s">
        <v>255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H10" sqref="H10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10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10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10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10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10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10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10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10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10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10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10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10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3650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1.44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H5" sqref="H5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0.3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0.85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0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8.1699999999999995E-2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0.246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0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0</v>
      </c>
      <c r="D16" s="87"/>
      <c r="E16" s="27"/>
    </row>
    <row r="17" spans="1:5" ht="17.399999999999999" x14ac:dyDescent="0.35">
      <c r="A17" s="24">
        <v>14</v>
      </c>
      <c r="B17" s="31">
        <f>0.25*$C$4</f>
        <v>0</v>
      </c>
      <c r="C17" s="90">
        <f t="shared" ref="C17:C20" si="0">($C$9+$C$10*$C$4)+($C$11+$C$12*$C$4)*B17</f>
        <v>0</v>
      </c>
      <c r="D17" s="11"/>
    </row>
    <row r="18" spans="1:5" ht="17.399999999999999" x14ac:dyDescent="0.4">
      <c r="A18" s="24">
        <v>15</v>
      </c>
      <c r="B18" s="31">
        <f>0.5*$C$4</f>
        <v>0</v>
      </c>
      <c r="C18" s="90">
        <f t="shared" si="0"/>
        <v>0</v>
      </c>
      <c r="D18" s="12"/>
      <c r="E18" s="25"/>
    </row>
    <row r="19" spans="1:5" ht="17.399999999999999" x14ac:dyDescent="0.4">
      <c r="A19" s="24">
        <v>16</v>
      </c>
      <c r="B19" s="31">
        <f>0.75*$C$4</f>
        <v>0</v>
      </c>
      <c r="C19" s="90">
        <f t="shared" si="0"/>
        <v>0</v>
      </c>
      <c r="D19" s="33"/>
    </row>
    <row r="20" spans="1:5" ht="17.399999999999999" x14ac:dyDescent="0.4">
      <c r="A20" s="24">
        <v>17</v>
      </c>
      <c r="B20" s="32">
        <f>$C$4</f>
        <v>0</v>
      </c>
      <c r="C20" s="91">
        <f t="shared" si="0"/>
        <v>0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0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0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0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0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C12" sqref="C12"/>
    </sheetView>
  </sheetViews>
  <sheetFormatPr baseColWidth="10" defaultRowHeight="13.2" x14ac:dyDescent="0.25"/>
  <cols>
    <col min="1" max="1" width="2.6640625" customWidth="1"/>
    <col min="2" max="2" width="34.6640625" customWidth="1"/>
    <col min="3" max="3" width="9.109375" customWidth="1"/>
    <col min="4" max="4" width="8.109375" customWidth="1"/>
    <col min="5" max="5" width="112.886718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2</v>
      </c>
      <c r="D4" s="28" t="s">
        <v>7</v>
      </c>
      <c r="E4" s="21" t="s">
        <v>263</v>
      </c>
    </row>
    <row r="5" spans="1:5" ht="17.399999999999999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customHeight="1" x14ac:dyDescent="0.25">
      <c r="A10" s="24">
        <v>7</v>
      </c>
      <c r="B10" s="22" t="s">
        <v>304</v>
      </c>
      <c r="C10" s="86">
        <v>25</v>
      </c>
      <c r="D10" s="113" t="s">
        <v>245</v>
      </c>
      <c r="E10" s="114" t="s">
        <v>282</v>
      </c>
    </row>
    <row r="11" spans="1:5" ht="17.399999999999999" x14ac:dyDescent="0.45">
      <c r="A11" s="24">
        <v>8</v>
      </c>
      <c r="B11" s="22" t="s">
        <v>305</v>
      </c>
      <c r="C11" s="20">
        <v>0</v>
      </c>
      <c r="D11" s="23" t="s">
        <v>7</v>
      </c>
      <c r="E11" s="21" t="s">
        <v>283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6C55-BBCE-48B0-8F18-AE395D853FFF}">
  <sheetPr>
    <tabColor rgb="FF000080"/>
  </sheetPr>
  <dimension ref="A1:E12"/>
  <sheetViews>
    <sheetView workbookViewId="0">
      <selection activeCell="C12" sqref="C12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1.21875" customWidth="1"/>
  </cols>
  <sheetData>
    <row r="1" spans="1:5" ht="23.4" x14ac:dyDescent="0.55000000000000004">
      <c r="B1" s="79" t="s">
        <v>264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265</v>
      </c>
      <c r="C4" s="20">
        <v>0.3</v>
      </c>
      <c r="D4" s="23" t="s">
        <v>266</v>
      </c>
      <c r="E4" s="21" t="s">
        <v>267</v>
      </c>
    </row>
    <row r="5" spans="1:5" ht="17.399999999999999" x14ac:dyDescent="0.45">
      <c r="A5" s="24">
        <v>2</v>
      </c>
      <c r="B5" s="22" t="s">
        <v>268</v>
      </c>
      <c r="C5" s="20">
        <v>0.15</v>
      </c>
      <c r="D5" s="23" t="s">
        <v>269</v>
      </c>
      <c r="E5" s="21" t="s">
        <v>270</v>
      </c>
    </row>
    <row r="6" spans="1:5" ht="17.399999999999999" x14ac:dyDescent="0.45">
      <c r="A6" s="24">
        <v>3</v>
      </c>
      <c r="B6" s="22" t="s">
        <v>271</v>
      </c>
      <c r="C6" s="20">
        <v>200</v>
      </c>
      <c r="D6" s="23" t="s">
        <v>272</v>
      </c>
      <c r="E6" s="21" t="s">
        <v>273</v>
      </c>
    </row>
    <row r="7" spans="1:5" ht="17.399999999999999" x14ac:dyDescent="0.45">
      <c r="A7" s="24">
        <v>4</v>
      </c>
      <c r="B7" s="22" t="s">
        <v>274</v>
      </c>
      <c r="C7" s="20">
        <v>0</v>
      </c>
      <c r="D7" s="23" t="s">
        <v>275</v>
      </c>
      <c r="E7" s="21" t="s">
        <v>276</v>
      </c>
    </row>
    <row r="8" spans="1:5" ht="17.399999999999999" x14ac:dyDescent="0.45">
      <c r="A8" s="24">
        <v>5</v>
      </c>
      <c r="B8" s="22" t="s">
        <v>284</v>
      </c>
      <c r="C8" s="20">
        <v>0</v>
      </c>
      <c r="D8" s="23" t="s">
        <v>275</v>
      </c>
      <c r="E8" s="21" t="s">
        <v>285</v>
      </c>
    </row>
    <row r="9" spans="1:5" ht="15.6" customHeight="1" x14ac:dyDescent="0.25">
      <c r="A9" s="24">
        <v>6</v>
      </c>
      <c r="B9" s="22" t="s">
        <v>288</v>
      </c>
      <c r="C9" s="86">
        <v>1.5</v>
      </c>
      <c r="D9" s="113" t="s">
        <v>289</v>
      </c>
      <c r="E9" s="114" t="s">
        <v>290</v>
      </c>
    </row>
    <row r="10" spans="1:5" ht="17.399999999999999" x14ac:dyDescent="0.45">
      <c r="A10" s="24">
        <v>7</v>
      </c>
      <c r="B10" s="22" t="s">
        <v>277</v>
      </c>
      <c r="C10" s="20">
        <v>1000</v>
      </c>
      <c r="D10" s="23" t="s">
        <v>278</v>
      </c>
      <c r="E10" s="21" t="s">
        <v>279</v>
      </c>
    </row>
    <row r="11" spans="1:5" ht="17.399999999999999" x14ac:dyDescent="0.45">
      <c r="A11" s="24">
        <v>8</v>
      </c>
      <c r="B11" s="22" t="s">
        <v>280</v>
      </c>
      <c r="C11" s="20">
        <v>0.01</v>
      </c>
      <c r="D11" s="23" t="s">
        <v>7</v>
      </c>
      <c r="E11" s="21" t="s">
        <v>286</v>
      </c>
    </row>
    <row r="12" spans="1:5" ht="17.399999999999999" x14ac:dyDescent="0.45">
      <c r="A12" s="24">
        <v>9</v>
      </c>
      <c r="B12" s="22" t="s">
        <v>281</v>
      </c>
      <c r="C12" s="20">
        <v>0.05</v>
      </c>
      <c r="D12" s="23" t="s">
        <v>7</v>
      </c>
      <c r="E12" s="21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2026-09-17T20:05:49Z</dcterms:modified>
</cp:coreProperties>
</file>