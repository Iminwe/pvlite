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ahisa\Desktop\pvlite\inputdata\"/>
    </mc:Choice>
  </mc:AlternateContent>
  <xr:revisionPtr revIDLastSave="0" documentId="13_ncr:1_{E8393286-87EE-4460-AE31-249CB0266CF3}" xr6:coauthVersionLast="47" xr6:coauthVersionMax="47" xr10:uidLastSave="{00000000-0000-0000-0000-000000000000}"/>
  <bookViews>
    <workbookView xWindow="-108" yWindow="-108" windowWidth="23256" windowHeight="12720" tabRatio="833" activeTab="6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BatteryMKBM" sheetId="36" r:id="rId7"/>
    <sheet name="Load" sheetId="34" r:id="rId8"/>
    <sheet name="Genset" sheetId="30" r:id="rId9"/>
    <sheet name="Wind" sheetId="35" r:id="rId10"/>
    <sheet name="Pumping" sheetId="32" r:id="rId11"/>
    <sheet name="Options" sheetId="12" r:id="rId12"/>
    <sheet name="Economics" sheetId="37" r:id="rId13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2" l="1"/>
  <c r="C21" i="32"/>
  <c r="C23" i="32"/>
  <c r="C28" i="32" s="1"/>
  <c r="C22" i="32"/>
  <c r="C8" i="35"/>
  <c r="C10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<sst xmlns="http://schemas.openxmlformats.org/spreadsheetml/2006/main" count="442" uniqueCount="306">
  <si>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</si>
  <si>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</si>
  <si>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</si>
  <si>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</si>
  <si>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</si>
  <si>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</si>
  <si>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</si>
  <si>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</si>
  <si>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</si>
  <si>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</si>
  <si>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</si>
  <si>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</si>
  <si>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</si>
  <si>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</si>
  <si>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</si>
  <si>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</si>
  <si>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</si>
  <si>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</si>
  <si>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</si>
  <si>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</si>
  <si>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</si>
  <si>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</si>
  <si>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</si>
  <si>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</si>
  <si>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</si>
  <si>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</si>
  <si>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</si>
  <si>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</si>
  <si>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</si>
  <si>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</si>
  <si>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</si>
  <si>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</si>
  <si>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</si>
  <si>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</si>
  <si>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</si>
  <si>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</si>
  <si>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</si>
  <si>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</si>
  <si>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</si>
  <si>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</si>
  <si>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</si>
  <si>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</si>
  <si>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</si>
  <si>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</si>
  <si>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</si>
  <si>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</si>
  <si>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</si>
  <si>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</si>
  <si>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</si>
  <si>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</si>
  <si>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</si>
  <si>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</si>
  <si>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</si>
  <si>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</si>
  <si>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</si>
  <si>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</si>
  <si>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</si>
  <si>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</si>
  <si>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</si>
  <si>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</si>
  <si>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</si>
  <si>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</si>
  <si>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</si>
  <si>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</si>
  <si>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</si>
  <si>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</si>
  <si>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</si>
  <si>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</si>
  <si>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</si>
  <si>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</si>
  <si>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</si>
  <si>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</si>
  <si>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</si>
  <si>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</si>
  <si>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</si>
  <si>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</si>
  <si>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</si>
  <si>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</si>
  <si>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</si>
  <si>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</si>
  <si>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</si>
  <si>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</si>
  <si>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</si>
  <si>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</si>
  <si>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</si>
  <si>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</si>
  <si>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</si>
  <si>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</si>
  <si>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</si>
  <si>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</si>
  <si>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</si>
  <si>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</si>
  <si>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</si>
  <si>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</si>
  <si>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</si>
  <si>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</si>
  <si>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</si>
  <si>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</si>
  <si>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</si>
  <si>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</si>
  <si>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</si>
  <si>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</si>
  <si>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</si>
  <si>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</si>
  <si>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</si>
  <si>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</si>
  <si>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</si>
  <si>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</si>
  <si>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</si>
  <si>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</si>
  <si>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</si>
  <si>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</si>
  <si>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</si>
  <si>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</si>
  <si>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</si>
  <si>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</si>
  <si>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</si>
  <si>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</si>
  <si>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</si>
  <si>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</si>
  <si>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</si>
  <si>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</si>
  <si>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</si>
  <si>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</si>
  <si>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</si>
  <si>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</si>
  <si>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</si>
  <si>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</si>
  <si>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</si>
  <si>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</si>
  <si>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</si>
  <si>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</si>
  <si>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</si>
  <si>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</si>
  <si>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</si>
  <si>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</si>
  <si>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</si>
  <si>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</si>
  <si>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</si>
  <si>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</si>
  <si>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</si>
  <si>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</si>
  <si>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</si>
  <si>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</si>
  <si>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</si>
  <si>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</si>
  <si>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</si>
  <si>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</si>
  <si>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</si>
  <si>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</si>
  <si>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</si>
  <si>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</si>
  <si>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</si>
  <si>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</si>
  <si>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</si>
  <si>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</si>
  <si>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</si>
  <si>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</si>
  <si>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</si>
  <si>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</si>
  <si>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</si>
  <si>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</si>
  <si>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</si>
  <si>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</si>
  <si>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</si>
  <si>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</si>
  <si>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</si>
  <si>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</si>
  <si>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</si>
  <si>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</si>
  <si>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</si>
  <si>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</si>
  <si>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</si>
  <si>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</si>
  <si>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</si>
  <si>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</si>
  <si>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</si>
  <si>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</si>
  <si>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</si>
  <si>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</si>
  <si>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</si>
  <si>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</si>
  <si>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</si>
  <si>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</si>
  <si>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</si>
  <si>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</si>
  <si>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</si>
  <si>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</si>
  <si>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</si>
  <si>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</si>
  <si>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</si>
  <si>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</si>
  <si>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</si>
  <si>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</si>
  <si>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</si>
  <si>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</si>
  <si>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</si>
  <si>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</si>
  <si>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</si>
  <si>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</si>
  <si>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</si>
  <si>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</si>
  <si>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</si>
  <si>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</si>
  <si>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</si>
  <si>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</si>
  <si>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</si>
  <si>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</si>
  <si>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</si>
  <si>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</si>
  <si>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</si>
  <si>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</si>
  <si>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</si>
  <si>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</si>
  <si>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</si>
  <si>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</si>
  <si>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</si>
  <si>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</si>
  <si>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</si>
  <si>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</si>
  <si>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</si>
  <si>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</si>
  <si>
    <t>PV application: (1: Grid, 2: Stand-alone, 3 / 4: Hybrid, 5: Pumping)</t>
  </si>
  <si>
    <t>BATTERY MKBM (Stand-alone PV systems)</t>
  </si>
  <si>
    <t>BatteryModel</t>
  </si>
  <si>
    <t>Enable MKBM model (1 = Original Simple Model, 2 = MKBM)</t>
  </si>
  <si>
    <t>BatteryType</t>
  </si>
  <si>
    <t>Battery type: 1 (Lead-acid), 2 (Li-ion LFP), 3 (NMC), 4 (LTO), 5 (Custom)</t>
  </si>
  <si>
    <t>MKBM_c</t>
  </si>
  <si>
    <t>Capacity ratio, e.g., 0,85</t>
  </si>
  <si>
    <t>MKBM_k</t>
  </si>
  <si>
    <t>1/h</t>
  </si>
  <si>
    <t>Rate constant, e.g., 2,5</t>
  </si>
  <si>
    <t>MKBM_eta_ch</t>
  </si>
  <si>
    <t>Charging efficiency, e.g., 0,95</t>
  </si>
  <si>
    <t>MKBM_eta_dis</t>
  </si>
  <si>
    <t>Discharge efficiency, e.g., 0,95</t>
  </si>
  <si>
    <t>MKBM_Pmax_ch</t>
  </si>
  <si>
    <t>Max. charging power</t>
  </si>
  <si>
    <t>MKBM_Pmax_dis</t>
  </si>
  <si>
    <t>Max. discharge power</t>
  </si>
  <si>
    <t>MKBM_LifeCycles</t>
  </si>
  <si>
    <t>Cycle life, e.g., 6000</t>
  </si>
  <si>
    <t>MKBM_LifeDoD</t>
  </si>
  <si>
    <t>Nominal Depth of Discharge (DoD) for cycling, e.g., 0,8</t>
  </si>
  <si>
    <t>MKBM_CalendarLife</t>
  </si>
  <si>
    <t>years</t>
  </si>
  <si>
    <t>Years taken to reach an SOH of 80%</t>
  </si>
  <si>
    <t>°C</t>
  </si>
  <si>
    <t>Minimum charge temp (e.g. 0)</t>
  </si>
  <si>
    <t>Maximum charge temp</t>
  </si>
  <si>
    <t>Minimum discharge temp</t>
  </si>
  <si>
    <t>Maximum discharge temp</t>
  </si>
  <si>
    <t>MKBM_SelfDischarge</t>
  </si>
  <si>
    <t>%/month</t>
  </si>
  <si>
    <t>Self-discharge rate. This slowly depletes the energy tanks hour by hour</t>
  </si>
  <si>
    <t>Ablytek 6MN6A275</t>
  </si>
  <si>
    <t>Exact name from CEC Modules.csv</t>
  </si>
  <si>
    <t>Number of modules in the system</t>
  </si>
  <si>
    <t>Module_Name</t>
  </si>
  <si>
    <t>Ginlong Technologies Co - Ltd : Solis-1P8K-4G-US [240V]</t>
  </si>
  <si>
    <t>Exact name from CEC Inverters.csv</t>
  </si>
  <si>
    <t>Pylontech US2000C</t>
  </si>
  <si>
    <t>Exact name from PVlite_Batteries.csv</t>
  </si>
  <si>
    <t>Number of batteries in parallel in the system</t>
  </si>
  <si>
    <t>ECONOMICS</t>
  </si>
  <si>
    <t>PV_Module_Cost</t>
  </si>
  <si>
    <t>€/Wp</t>
  </si>
  <si>
    <t>PV modules specific cost</t>
  </si>
  <si>
    <t>Inverter_Cost</t>
  </si>
  <si>
    <t>€/W</t>
  </si>
  <si>
    <t>Inverter specific cost</t>
  </si>
  <si>
    <t>Battery_Cost</t>
  </si>
  <si>
    <t>€/kWh</t>
  </si>
  <si>
    <t>Battery bank specific cost</t>
  </si>
  <si>
    <t>Genset_Cost</t>
  </si>
  <si>
    <t>€/kW</t>
  </si>
  <si>
    <t xml:space="preserve">Backup genset specific cost </t>
  </si>
  <si>
    <t>Fixed_Installation_Cost</t>
  </si>
  <si>
    <t>€</t>
  </si>
  <si>
    <t>Fixed installation and permitting costs</t>
  </si>
  <si>
    <t>Opex_Factor</t>
  </si>
  <si>
    <t>Discount_Rate</t>
  </si>
  <si>
    <t>Total expected lifespan of the project in years. Used for multi-year aging simulations and economic calculations</t>
  </si>
  <si>
    <t>Annual PV module power loss fraction due to aging (e.g., enter 0.008 for a 0.8% degradation per year)</t>
  </si>
  <si>
    <t>Wind_Cost</t>
  </si>
  <si>
    <t>Wind turbine specific cost.</t>
  </si>
  <si>
    <t xml:space="preserve">Annual OPEX as a fraction of CAPEX (e.g. 0,01 = 1%) </t>
  </si>
  <si>
    <t>Annual discount rate for NPC/LCOE (e.g. 0,05 = 5%)</t>
  </si>
  <si>
    <t>Fuel_Cost</t>
  </si>
  <si>
    <t>€/L</t>
  </si>
  <si>
    <t>Genset fuel cost. Used only when fuel consumption is simulated.</t>
  </si>
  <si>
    <t>Use_Database_Inv</t>
  </si>
  <si>
    <t>Inverter_Name</t>
  </si>
  <si>
    <t>Use_Database_PV</t>
  </si>
  <si>
    <t>Set to 2 to use PVlite database (1 = Manual Mode, 2 = Use Database)</t>
  </si>
  <si>
    <t>Use_Database_Bat</t>
  </si>
  <si>
    <t>Battery_Name</t>
  </si>
  <si>
    <t>N_Batteries</t>
  </si>
  <si>
    <t>MKBM_MinChargeTemp</t>
  </si>
  <si>
    <t>MKBM_MaxChargeTemp</t>
  </si>
  <si>
    <t>MKBM_MinDischargeTemp</t>
  </si>
  <si>
    <t>MKBM_MaxDischargeTemp</t>
  </si>
  <si>
    <t>Project_Lifetime</t>
  </si>
  <si>
    <t>PV_Degradation_Rate</t>
  </si>
  <si>
    <t>N_Modules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</si>
</sst>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  <family val="2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justify" vertical="top"/>
    </xf>
    <xf numFmtId="0" fontId="4" fillId="0" borderId="0" xfId="0" applyFont="1" applyAlignment="1">
      <alignment horizontal="center" vertical="top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8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Inverter!$B$15:$B$20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Inverter!$C$15:$C$20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1.1959712230215833</c:v>
                </c:pt>
                <c:pt idx="3">
                  <c:v>3.4555395683453254</c:v>
                </c:pt>
                <c:pt idx="4">
                  <c:v>7.1171223021582746</c:v>
                </c:pt>
                <c:pt idx="5">
                  <c:v>12.519136690647487</c:v>
                </c:pt>
                <c:pt idx="6">
                  <c:v>20</c:v>
                </c:pt>
                <c:pt idx="7">
                  <c:v>20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</xdr:rowOff>
    </xdr:from>
    <xdr:to>
      <xdr:col>5</xdr:col>
      <xdr:colOff>0</xdr:colOff>
      <xdr:row>24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76201</xdr:colOff>
      <xdr:row>9</xdr:row>
      <xdr:rowOff>38100</xdr:rowOff>
    </xdr:from>
    <xdr:to>
      <xdr:col>12</xdr:col>
      <xdr:colOff>495301</xdr:colOff>
      <xdr:row>23</xdr:row>
      <xdr:rowOff>2314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B7D03E-1CF4-7CA1-E688-75787122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82076" y="2305050"/>
          <a:ext cx="3467100" cy="3320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zoomScaleNormal="100" workbookViewId="0">
      <selection activeCell="E5" sqref="E5"/>
    </sheetView>
  </sheetViews>
  <sheetFormatPr baseColWidth="10" defaultColWidth="11.44140625" defaultRowHeight="17.399999999999999" x14ac:dyDescent="0.4"/>
  <cols>
    <col min="1" max="1" width="2.109375" style="1" customWidth="1"/>
    <col min="2" max="2" width="20.109375" style="2" customWidth="1"/>
    <col min="3" max="3" width="10.88671875" style="2" customWidth="1"/>
    <col min="4" max="4" width="10.44140625" style="2" customWidth="1"/>
    <col min="5" max="5" width="102.33203125" style="2" customWidth="1"/>
    <col min="6" max="6" width="13.44140625" style="2" customWidth="1"/>
    <col min="7" max="16384" width="11.44140625" style="2"/>
  </cols>
  <sheetData>
    <row r="1" spans="1:6" ht="23.4" x14ac:dyDescent="0.55000000000000004">
      <c r="B1" s="79" t="s">
        <v>16</v>
      </c>
      <c r="C1" s="79"/>
      <c r="D1" s="79"/>
      <c r="E1" s="78"/>
    </row>
    <row r="3" spans="1:6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221</v>
      </c>
    </row>
    <row r="6" spans="1:6" x14ac:dyDescent="0.4">
      <c r="A6" s="6">
        <v>3</v>
      </c>
      <c r="B6" s="7" t="s">
        <v>133</v>
      </c>
      <c r="C6" s="8">
        <v>667</v>
      </c>
      <c r="D6" s="9" t="s">
        <v>134</v>
      </c>
      <c r="E6" s="2" t="s">
        <v>135</v>
      </c>
    </row>
    <row r="7" spans="1:6" x14ac:dyDescent="0.4">
      <c r="A7" s="6">
        <v>4</v>
      </c>
      <c r="B7" s="7" t="s">
        <v>176</v>
      </c>
      <c r="C7" s="8">
        <v>0</v>
      </c>
      <c r="D7" s="9" t="s">
        <v>15</v>
      </c>
      <c r="E7" s="2" t="s">
        <v>137</v>
      </c>
    </row>
    <row r="8" spans="1:6" x14ac:dyDescent="0.4">
      <c r="E8" s="10"/>
    </row>
    <row r="9" spans="1:6" x14ac:dyDescent="0.4">
      <c r="E9"/>
      <c r="F9" s="10"/>
    </row>
    <row r="13" spans="1:6" x14ac:dyDescent="0.4">
      <c r="F13"/>
    </row>
    <row r="14" spans="1:6" x14ac:dyDescent="0.4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topLeftCell="D1" zoomScaleNormal="100" workbookViewId="0">
      <selection activeCell="H10" sqref="H10"/>
    </sheetView>
  </sheetViews>
  <sheetFormatPr baseColWidth="10" defaultRowHeight="13.2" x14ac:dyDescent="0.25"/>
  <cols>
    <col min="1" max="1" width="2.44140625" customWidth="1"/>
    <col min="2" max="2" width="12.88671875" customWidth="1"/>
    <col min="3" max="3" width="18.6640625" customWidth="1"/>
    <col min="4" max="4" width="12.6640625" customWidth="1"/>
    <col min="5" max="5" width="13" customWidth="1"/>
    <col min="6" max="6" width="9.88671875" customWidth="1"/>
    <col min="7" max="7" width="13.33203125" customWidth="1"/>
    <col min="8" max="8" width="61.6640625" customWidth="1"/>
    <col min="12" max="12" width="23.5546875" customWidth="1"/>
  </cols>
  <sheetData>
    <row r="1" spans="1:12" ht="23.4" x14ac:dyDescent="0.5500000000000000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7.399999999999999" x14ac:dyDescent="0.4">
      <c r="A2" s="1"/>
      <c r="B2" s="2"/>
      <c r="C2" s="2"/>
      <c r="D2" s="2"/>
      <c r="E2" s="2"/>
    </row>
    <row r="3" spans="1:12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7.399999999999999" x14ac:dyDescent="0.4">
      <c r="A4" s="6">
        <v>1</v>
      </c>
      <c r="B4" s="7" t="s">
        <v>177</v>
      </c>
      <c r="C4" s="8">
        <v>1</v>
      </c>
      <c r="D4" s="9"/>
      <c r="E4" s="7" t="s">
        <v>136</v>
      </c>
    </row>
    <row r="5" spans="1:12" ht="17.399999999999999" x14ac:dyDescent="0.4">
      <c r="A5" s="6">
        <v>2</v>
      </c>
      <c r="B5" s="7" t="s">
        <v>178</v>
      </c>
      <c r="C5" s="8">
        <v>1</v>
      </c>
      <c r="D5" s="9"/>
      <c r="E5" s="2" t="s">
        <v>217</v>
      </c>
    </row>
    <row r="6" spans="1:12" ht="17.399999999999999" x14ac:dyDescent="0.4">
      <c r="A6" s="6">
        <v>3</v>
      </c>
      <c r="B6" s="7"/>
      <c r="C6" s="8"/>
      <c r="D6" s="9"/>
      <c r="E6" s="2"/>
    </row>
    <row r="7" spans="1:12" ht="13.8" x14ac:dyDescent="0.3">
      <c r="A7" s="6">
        <v>4</v>
      </c>
    </row>
    <row r="8" spans="1:12" ht="19.2" x14ac:dyDescent="0.4">
      <c r="A8" s="6">
        <v>5</v>
      </c>
      <c r="B8" s="53" t="s">
        <v>99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" x14ac:dyDescent="0.4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75</v>
      </c>
      <c r="H9" s="84" t="s">
        <v>132</v>
      </c>
    </row>
    <row r="10" spans="1:12" ht="17.399999999999999" x14ac:dyDescent="0.4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76</v>
      </c>
      <c r="H10" s="84" t="s">
        <v>218</v>
      </c>
    </row>
    <row r="11" spans="1:12" ht="17.399999999999999" x14ac:dyDescent="0.4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77</v>
      </c>
      <c r="H11" s="84" t="s">
        <v>131</v>
      </c>
    </row>
    <row r="12" spans="1:12" ht="17.399999999999999" x14ac:dyDescent="0.4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7.399999999999999" x14ac:dyDescent="0.4">
      <c r="A13" s="6">
        <v>10</v>
      </c>
      <c r="B13" s="15" t="s">
        <v>181</v>
      </c>
      <c r="C13" s="8">
        <v>6640</v>
      </c>
      <c r="D13" s="8">
        <v>10.199999999999999</v>
      </c>
      <c r="E13" s="57">
        <v>22</v>
      </c>
    </row>
    <row r="14" spans="1:12" ht="17.399999999999999" x14ac:dyDescent="0.4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7.399999999999999" x14ac:dyDescent="0.4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7.399999999999999" x14ac:dyDescent="0.4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7.399999999999999" x14ac:dyDescent="0.4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7.399999999999999" x14ac:dyDescent="0.4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7.399999999999999" x14ac:dyDescent="0.4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7.399999999999999" x14ac:dyDescent="0.4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22"/>
  <sheetViews>
    <sheetView zoomScaleNormal="100" workbookViewId="0">
      <selection activeCell="C4" sqref="C4"/>
    </sheetView>
  </sheetViews>
  <sheetFormatPr baseColWidth="10" defaultRowHeight="13.2" x14ac:dyDescent="0.25"/>
  <cols>
    <col min="1" max="1" width="2.44140625" customWidth="1"/>
    <col min="2" max="2" width="25.77734375" bestFit="1" customWidth="1"/>
    <col min="3" max="3" width="20.88671875" bestFit="1" customWidth="1"/>
    <col min="4" max="4" width="12" customWidth="1"/>
    <col min="5" max="5" width="74.6640625" customWidth="1"/>
    <col min="6" max="6" width="11.44140625" customWidth="1"/>
    <col min="12" max="12" width="11.44140625" customWidth="1"/>
    <col min="15" max="15" width="13.88671875" customWidth="1"/>
  </cols>
  <sheetData>
    <row r="1" spans="1:15" ht="23.4" x14ac:dyDescent="0.55000000000000004">
      <c r="A1" s="1"/>
      <c r="B1" s="79" t="s">
        <v>80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7.399999999999999" x14ac:dyDescent="0.4">
      <c r="A2" s="1"/>
      <c r="B2" s="2"/>
      <c r="C2" s="2"/>
      <c r="D2" s="2"/>
      <c r="E2" s="2"/>
    </row>
    <row r="3" spans="1:15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7.399999999999999" x14ac:dyDescent="0.4">
      <c r="A4" s="6">
        <v>1</v>
      </c>
      <c r="B4" s="109" t="s">
        <v>294</v>
      </c>
      <c r="C4" s="110">
        <v>2</v>
      </c>
      <c r="D4" s="110"/>
      <c r="E4" s="109" t="s">
        <v>295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spans="1:15" ht="17.399999999999999" x14ac:dyDescent="0.4">
      <c r="A5" s="6">
        <v>2</v>
      </c>
      <c r="B5" s="109" t="s">
        <v>259</v>
      </c>
      <c r="C5" s="111" t="s">
        <v>256</v>
      </c>
      <c r="D5" s="110"/>
      <c r="E5" s="109" t="s">
        <v>257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</row>
    <row r="6" spans="1:15" ht="17.399999999999999" x14ac:dyDescent="0.4">
      <c r="A6" s="6">
        <v>3</v>
      </c>
      <c r="B6" s="109" t="s">
        <v>305</v>
      </c>
      <c r="C6" s="110">
        <v>4</v>
      </c>
      <c r="D6" s="110"/>
      <c r="E6" s="109" t="s">
        <v>258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7" spans="1:15" ht="18" x14ac:dyDescent="0.45">
      <c r="A7" s="6">
        <v>4</v>
      </c>
      <c r="B7" s="7" t="s">
        <v>79</v>
      </c>
      <c r="C7" s="8">
        <v>1</v>
      </c>
      <c r="D7" s="19" t="s">
        <v>4</v>
      </c>
      <c r="E7" s="7" t="s">
        <v>78</v>
      </c>
      <c r="F7" s="2"/>
    </row>
    <row r="8" spans="1:15" ht="19.2" x14ac:dyDescent="0.4">
      <c r="A8" s="6">
        <v>5</v>
      </c>
      <c r="B8" s="2" t="s">
        <v>2</v>
      </c>
      <c r="C8" s="8">
        <v>0.5</v>
      </c>
      <c r="D8" s="9" t="s">
        <v>50</v>
      </c>
      <c r="E8" s="2" t="s">
        <v>83</v>
      </c>
    </row>
    <row r="9" spans="1:15" ht="15.75" customHeight="1" x14ac:dyDescent="0.4">
      <c r="A9" s="6">
        <v>6</v>
      </c>
      <c r="B9" s="2" t="s">
        <v>3</v>
      </c>
      <c r="C9" s="8">
        <v>48</v>
      </c>
      <c r="D9" s="9" t="s">
        <v>1</v>
      </c>
      <c r="E9" s="2" t="s">
        <v>32</v>
      </c>
    </row>
    <row r="10" spans="1:15" ht="15.75" customHeight="1" x14ac:dyDescent="0.4">
      <c r="A10" s="6">
        <v>7</v>
      </c>
      <c r="B10" s="2" t="s">
        <v>171</v>
      </c>
      <c r="C10" s="8">
        <f>(C9-20)/800</f>
        <v>3.5000000000000003E-2</v>
      </c>
      <c r="D10" s="9" t="s">
        <v>172</v>
      </c>
      <c r="E10" s="2" t="s">
        <v>173</v>
      </c>
    </row>
    <row r="11" spans="1:15" ht="17.399999999999999" x14ac:dyDescent="0.4">
      <c r="A11" s="6">
        <v>8</v>
      </c>
      <c r="B11" s="4" t="s">
        <v>182</v>
      </c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7.399999999999999" x14ac:dyDescent="0.4">
      <c r="A12" s="6">
        <v>9</v>
      </c>
      <c r="B12" s="2" t="s">
        <v>185</v>
      </c>
      <c r="C12" s="8">
        <v>1</v>
      </c>
      <c r="E12" s="2" t="s">
        <v>187</v>
      </c>
      <c r="F12" s="2"/>
    </row>
    <row r="13" spans="1:15" ht="17.399999999999999" x14ac:dyDescent="0.4">
      <c r="A13" s="6">
        <v>10</v>
      </c>
      <c r="B13" s="2"/>
      <c r="C13" s="8"/>
      <c r="E13" s="2"/>
      <c r="F13" s="2"/>
    </row>
    <row r="14" spans="1:15" ht="17.399999999999999" x14ac:dyDescent="0.4">
      <c r="A14" s="6">
        <v>11</v>
      </c>
      <c r="B14" s="104" t="s">
        <v>189</v>
      </c>
      <c r="C14" s="12"/>
      <c r="D14" s="12"/>
      <c r="E14" s="25"/>
      <c r="F14" s="2"/>
    </row>
    <row r="15" spans="1:15" ht="18.75" customHeight="1" x14ac:dyDescent="0.4">
      <c r="A15" s="6">
        <v>12</v>
      </c>
      <c r="B15" s="2" t="s">
        <v>183</v>
      </c>
      <c r="C15" s="8">
        <v>35</v>
      </c>
      <c r="D15" s="9" t="s">
        <v>15</v>
      </c>
      <c r="E15" s="2" t="s">
        <v>81</v>
      </c>
      <c r="F15" s="25"/>
      <c r="G15" s="25"/>
      <c r="H15" s="25"/>
      <c r="I15" s="25"/>
      <c r="J15" s="25"/>
      <c r="K15" s="25"/>
      <c r="L15" s="25"/>
    </row>
    <row r="16" spans="1:15" ht="17.399999999999999" x14ac:dyDescent="0.4">
      <c r="A16" s="6">
        <v>13</v>
      </c>
      <c r="B16" s="2" t="s">
        <v>184</v>
      </c>
      <c r="C16" s="8">
        <v>0</v>
      </c>
      <c r="D16" s="9" t="s">
        <v>15</v>
      </c>
      <c r="E16" s="2" t="s">
        <v>82</v>
      </c>
    </row>
    <row r="17" spans="1:12" ht="17.399999999999999" x14ac:dyDescent="0.4">
      <c r="A17" s="6">
        <v>14</v>
      </c>
      <c r="B17" s="2"/>
      <c r="C17" s="8"/>
      <c r="D17" s="9"/>
      <c r="E17" s="2"/>
    </row>
    <row r="18" spans="1:12" ht="17.399999999999999" x14ac:dyDescent="0.4">
      <c r="A18" s="6">
        <v>15</v>
      </c>
      <c r="B18" s="104" t="s">
        <v>190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7.399999999999999" x14ac:dyDescent="0.4">
      <c r="A19" s="6">
        <v>16</v>
      </c>
      <c r="B19" s="2" t="s">
        <v>183</v>
      </c>
      <c r="C19" s="8">
        <v>45</v>
      </c>
      <c r="D19" s="9" t="s">
        <v>15</v>
      </c>
      <c r="E19" s="2" t="s">
        <v>186</v>
      </c>
    </row>
    <row r="20" spans="1:12" ht="17.399999999999999" x14ac:dyDescent="0.4">
      <c r="A20" s="6">
        <v>17</v>
      </c>
      <c r="B20" s="2"/>
      <c r="C20" s="8"/>
      <c r="D20" s="9"/>
      <c r="E20" s="2"/>
    </row>
    <row r="21" spans="1:12" ht="17.399999999999999" x14ac:dyDescent="0.4">
      <c r="A21" s="6">
        <v>18</v>
      </c>
      <c r="B21" s="104" t="s">
        <v>188</v>
      </c>
      <c r="C21" s="12"/>
      <c r="D21" s="12"/>
      <c r="E21" s="25"/>
    </row>
    <row r="22" spans="1:12" ht="17.399999999999999" x14ac:dyDescent="0.4">
      <c r="A22" s="6">
        <v>19</v>
      </c>
      <c r="B22" s="2" t="s">
        <v>183</v>
      </c>
      <c r="C22" s="8">
        <v>40</v>
      </c>
      <c r="D22" s="9" t="s">
        <v>15</v>
      </c>
      <c r="E22" s="2" t="s">
        <v>81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7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8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9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5 C19:C20 C22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6:C17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12:C13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12:E13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81"/>
  <sheetViews>
    <sheetView zoomScaleNormal="100" workbookViewId="0">
      <selection activeCell="C4" sqref="C4"/>
    </sheetView>
  </sheetViews>
  <sheetFormatPr baseColWidth="10" defaultRowHeight="13.2" x14ac:dyDescent="0.25"/>
  <cols>
    <col min="1" max="1" width="2.6640625" customWidth="1"/>
    <col min="2" max="2" width="20.5546875" customWidth="1"/>
    <col min="3" max="3" width="58.6640625" bestFit="1" customWidth="1"/>
    <col min="4" max="4" width="8.33203125" customWidth="1"/>
    <col min="5" max="5" width="67.88671875" bestFit="1" customWidth="1"/>
  </cols>
  <sheetData>
    <row r="1" spans="1:5" ht="23.4" x14ac:dyDescent="0.55000000000000004">
      <c r="B1" s="79" t="s">
        <v>35</v>
      </c>
      <c r="C1" s="79"/>
      <c r="D1" s="81"/>
      <c r="E1" s="78"/>
    </row>
    <row r="2" spans="1:5" ht="18" x14ac:dyDescent="0.45">
      <c r="B2" s="25"/>
      <c r="C2" s="12"/>
      <c r="D2" s="26"/>
      <c r="E2" s="25"/>
    </row>
    <row r="3" spans="1:5" ht="17.399999999999999" x14ac:dyDescent="0.4">
      <c r="B3" s="4" t="s">
        <v>49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292</v>
      </c>
      <c r="C4" s="110">
        <v>2</v>
      </c>
      <c r="D4" s="110"/>
      <c r="E4" s="109" t="s">
        <v>295</v>
      </c>
    </row>
    <row r="5" spans="1:5" ht="17.399999999999999" x14ac:dyDescent="0.4">
      <c r="A5" s="24">
        <v>2</v>
      </c>
      <c r="B5" s="109" t="s">
        <v>293</v>
      </c>
      <c r="C5" s="111" t="s">
        <v>260</v>
      </c>
      <c r="D5" s="110"/>
      <c r="E5" s="109" t="s">
        <v>261</v>
      </c>
    </row>
    <row r="6" spans="1:5" ht="18.75" customHeight="1" x14ac:dyDescent="0.45">
      <c r="A6" s="24">
        <v>3</v>
      </c>
      <c r="B6" s="22" t="s">
        <v>112</v>
      </c>
      <c r="C6" s="20">
        <v>1</v>
      </c>
      <c r="D6" s="23" t="s">
        <v>5</v>
      </c>
      <c r="E6" s="27" t="s">
        <v>36</v>
      </c>
    </row>
    <row r="7" spans="1:5" ht="18" x14ac:dyDescent="0.45">
      <c r="A7" s="24">
        <v>4</v>
      </c>
      <c r="B7" s="22" t="s">
        <v>113</v>
      </c>
      <c r="C7" s="20">
        <v>1</v>
      </c>
      <c r="D7" s="23" t="s">
        <v>5</v>
      </c>
      <c r="E7" s="2" t="s">
        <v>37</v>
      </c>
    </row>
    <row r="8" spans="1:5" ht="18" x14ac:dyDescent="0.45">
      <c r="A8" s="24">
        <v>5</v>
      </c>
      <c r="B8" s="22" t="s">
        <v>179</v>
      </c>
      <c r="C8" s="20">
        <v>1</v>
      </c>
      <c r="D8" s="23" t="s">
        <v>7</v>
      </c>
      <c r="E8" s="2" t="s">
        <v>87</v>
      </c>
    </row>
    <row r="9" spans="1:5" ht="18" x14ac:dyDescent="0.45">
      <c r="A9" s="24">
        <v>6</v>
      </c>
      <c r="B9" s="4" t="s">
        <v>46</v>
      </c>
      <c r="C9" s="20"/>
      <c r="D9" s="23"/>
      <c r="E9" s="2"/>
    </row>
    <row r="10" spans="1:5" ht="17.399999999999999" x14ac:dyDescent="0.45">
      <c r="A10" s="24">
        <v>7</v>
      </c>
      <c r="B10" s="29" t="s">
        <v>84</v>
      </c>
      <c r="C10" s="20">
        <v>0.01</v>
      </c>
      <c r="D10" s="23" t="s">
        <v>7</v>
      </c>
      <c r="E10" s="27" t="s">
        <v>38</v>
      </c>
    </row>
    <row r="11" spans="1:5" ht="17.25" customHeight="1" x14ac:dyDescent="0.45">
      <c r="A11" s="24">
        <v>8</v>
      </c>
      <c r="B11" s="29" t="s">
        <v>85</v>
      </c>
      <c r="C11" s="20">
        <v>0.01</v>
      </c>
      <c r="D11" s="23" t="s">
        <v>7</v>
      </c>
      <c r="E11" s="2" t="s">
        <v>39</v>
      </c>
    </row>
    <row r="12" spans="1:5" ht="17.25" customHeight="1" x14ac:dyDescent="0.45">
      <c r="A12" s="24">
        <v>9</v>
      </c>
      <c r="B12" s="29" t="s">
        <v>86</v>
      </c>
      <c r="C12" s="20">
        <v>0.02</v>
      </c>
      <c r="D12" s="19" t="s">
        <v>7</v>
      </c>
      <c r="E12" s="2" t="s">
        <v>40</v>
      </c>
    </row>
    <row r="13" spans="1:5" ht="17.25" customHeight="1" x14ac:dyDescent="0.45">
      <c r="A13" s="24">
        <v>10</v>
      </c>
      <c r="B13" s="4" t="s">
        <v>88</v>
      </c>
      <c r="C13" s="4"/>
      <c r="D13" s="19"/>
      <c r="E13" s="2"/>
    </row>
    <row r="14" spans="1:5" ht="18" x14ac:dyDescent="0.45">
      <c r="A14" s="24">
        <v>11</v>
      </c>
      <c r="B14" s="36" t="s">
        <v>114</v>
      </c>
      <c r="C14" s="36" t="s">
        <v>47</v>
      </c>
      <c r="D14" s="19"/>
      <c r="E14" s="2"/>
    </row>
    <row r="15" spans="1:5" ht="18" x14ac:dyDescent="0.45">
      <c r="A15" s="24">
        <v>12</v>
      </c>
      <c r="B15" s="30">
        <v>0</v>
      </c>
      <c r="C15" s="34">
        <v>0</v>
      </c>
      <c r="D15" s="19"/>
      <c r="E15" s="2"/>
    </row>
    <row r="16" spans="1:5" ht="18" x14ac:dyDescent="0.45">
      <c r="A16" s="24">
        <v>13</v>
      </c>
      <c r="B16" s="31">
        <v>0.1</v>
      </c>
      <c r="C16" s="35">
        <v>94.2</v>
      </c>
      <c r="D16" s="19"/>
      <c r="E16" s="2"/>
    </row>
    <row r="17" spans="1:5" ht="18" x14ac:dyDescent="0.45">
      <c r="A17" s="24">
        <v>14</v>
      </c>
      <c r="B17" s="31">
        <v>0.25</v>
      </c>
      <c r="C17" s="35">
        <v>96.4</v>
      </c>
      <c r="D17" s="19"/>
      <c r="E17" s="2"/>
    </row>
    <row r="18" spans="1:5" ht="18" x14ac:dyDescent="0.45">
      <c r="A18" s="24">
        <v>15</v>
      </c>
      <c r="B18" s="31">
        <v>0.5</v>
      </c>
      <c r="C18" s="35">
        <v>96.7</v>
      </c>
      <c r="D18" s="19"/>
      <c r="E18" s="2"/>
    </row>
    <row r="19" spans="1:5" ht="18" x14ac:dyDescent="0.45">
      <c r="A19" s="24">
        <v>16</v>
      </c>
      <c r="B19" s="31">
        <v>0.75</v>
      </c>
      <c r="C19" s="35">
        <v>96.4</v>
      </c>
      <c r="D19" s="19"/>
      <c r="E19" s="2"/>
    </row>
    <row r="20" spans="1:5" ht="18" x14ac:dyDescent="0.45">
      <c r="A20" s="24">
        <v>17</v>
      </c>
      <c r="B20" s="32">
        <v>1</v>
      </c>
      <c r="C20" s="41">
        <v>96.2</v>
      </c>
      <c r="D20" s="19"/>
      <c r="E20" s="2"/>
    </row>
    <row r="41" spans="4:4" ht="15" x14ac:dyDescent="0.35">
      <c r="D41" s="11"/>
    </row>
    <row r="42" spans="4:4" ht="15" x14ac:dyDescent="0.35">
      <c r="D42" s="11"/>
    </row>
    <row r="43" spans="4:4" ht="15" x14ac:dyDescent="0.35">
      <c r="D43" s="11"/>
    </row>
    <row r="44" spans="4:4" ht="15" x14ac:dyDescent="0.35">
      <c r="D44" s="11"/>
    </row>
    <row r="45" spans="4:4" ht="15" x14ac:dyDescent="0.35">
      <c r="D45" s="11"/>
    </row>
    <row r="46" spans="4:4" ht="15" x14ac:dyDescent="0.35">
      <c r="D46" s="11"/>
    </row>
    <row r="47" spans="4:4" ht="15" x14ac:dyDescent="0.35">
      <c r="D47" s="11"/>
    </row>
    <row r="48" spans="4:4" ht="15" x14ac:dyDescent="0.35">
      <c r="D48" s="11"/>
    </row>
    <row r="49" spans="4:4" ht="15" x14ac:dyDescent="0.35">
      <c r="D49" s="11"/>
    </row>
    <row r="50" spans="4:4" ht="15" x14ac:dyDescent="0.35">
      <c r="D50" s="11"/>
    </row>
    <row r="51" spans="4:4" ht="15" x14ac:dyDescent="0.35">
      <c r="D51" s="11"/>
    </row>
    <row r="52" spans="4:4" ht="15" x14ac:dyDescent="0.35">
      <c r="D52" s="11"/>
    </row>
    <row r="53" spans="4:4" ht="15" x14ac:dyDescent="0.35">
      <c r="D53" s="11"/>
    </row>
    <row r="54" spans="4:4" ht="15" x14ac:dyDescent="0.35">
      <c r="D54" s="11"/>
    </row>
    <row r="55" spans="4:4" ht="15" x14ac:dyDescent="0.35">
      <c r="D55" s="11"/>
    </row>
    <row r="56" spans="4:4" ht="15" x14ac:dyDescent="0.35">
      <c r="D56" s="11"/>
    </row>
    <row r="57" spans="4:4" ht="15" x14ac:dyDescent="0.35">
      <c r="D57" s="11"/>
    </row>
    <row r="58" spans="4:4" ht="15" x14ac:dyDescent="0.35">
      <c r="D58" s="11"/>
    </row>
    <row r="59" spans="4:4" ht="15" x14ac:dyDescent="0.35">
      <c r="D59" s="11"/>
    </row>
    <row r="60" spans="4:4" ht="15" x14ac:dyDescent="0.35">
      <c r="D60" s="11"/>
    </row>
    <row r="61" spans="4:4" ht="15" x14ac:dyDescent="0.35">
      <c r="D61" s="11"/>
    </row>
    <row r="62" spans="4:4" ht="15" x14ac:dyDescent="0.35">
      <c r="D62" s="11"/>
    </row>
    <row r="63" spans="4:4" ht="15" x14ac:dyDescent="0.35">
      <c r="D63" s="11"/>
    </row>
    <row r="64" spans="4:4" ht="15" x14ac:dyDescent="0.35">
      <c r="D64" s="11"/>
    </row>
    <row r="65" spans="4:4" ht="15" x14ac:dyDescent="0.35">
      <c r="D65" s="11"/>
    </row>
    <row r="66" spans="4:4" ht="15" x14ac:dyDescent="0.35">
      <c r="D66" s="11"/>
    </row>
    <row r="67" spans="4:4" ht="15" x14ac:dyDescent="0.35">
      <c r="D67" s="11"/>
    </row>
    <row r="68" spans="4:4" ht="15" x14ac:dyDescent="0.35">
      <c r="D68" s="11"/>
    </row>
    <row r="69" spans="4:4" ht="15" x14ac:dyDescent="0.35">
      <c r="D69" s="11"/>
    </row>
    <row r="70" spans="4:4" ht="15" x14ac:dyDescent="0.35">
      <c r="D70" s="11"/>
    </row>
    <row r="71" spans="4:4" ht="15" x14ac:dyDescent="0.35">
      <c r="D71" s="11"/>
    </row>
    <row r="72" spans="4:4" ht="15" x14ac:dyDescent="0.35">
      <c r="D72" s="11"/>
    </row>
    <row r="73" spans="4:4" ht="15" x14ac:dyDescent="0.35">
      <c r="D73" s="11"/>
    </row>
    <row r="74" spans="4:4" ht="15" x14ac:dyDescent="0.35">
      <c r="D74" s="11"/>
    </row>
    <row r="75" spans="4:4" ht="15" x14ac:dyDescent="0.35">
      <c r="D75" s="11"/>
    </row>
    <row r="76" spans="4:4" ht="15" x14ac:dyDescent="0.35">
      <c r="D76" s="11"/>
    </row>
    <row r="77" spans="4:4" ht="15" x14ac:dyDescent="0.35">
      <c r="D77" s="11"/>
    </row>
    <row r="78" spans="4:4" ht="15" x14ac:dyDescent="0.35">
      <c r="D78" s="11"/>
    </row>
    <row r="79" spans="4:4" ht="15" x14ac:dyDescent="0.35">
      <c r="D79" s="11"/>
    </row>
    <row r="80" spans="4:4" ht="15" x14ac:dyDescent="0.35">
      <c r="D80" s="11"/>
    </row>
    <row r="81" spans="4:4" ht="15" x14ac:dyDescent="0.35">
      <c r="D81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8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4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4" xr:uid="{00000000-0002-0000-0C00-000002000000}"/>
    <dataValidation type="decimal" allowBlank="1" showInputMessage="1" showErrorMessage="1" errorTitle="Values" error="0&lt;=Values&lt;=100" promptTitle="Power efficiency [%]" prompt="Power efficiency=100*PAC/PDC" sqref="C15:C20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5:B20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3.2" x14ac:dyDescent="0.25"/>
  <cols>
    <col min="1" max="1" width="2.33203125" customWidth="1"/>
    <col min="2" max="2" width="12.5546875" customWidth="1"/>
    <col min="3" max="3" width="8.44140625" customWidth="1"/>
    <col min="4" max="4" width="8.6640625" customWidth="1"/>
    <col min="5" max="5" width="50.44140625" customWidth="1"/>
  </cols>
  <sheetData>
    <row r="1" spans="1:5" ht="23.4" x14ac:dyDescent="0.55000000000000004">
      <c r="B1" s="79" t="s">
        <v>33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41</v>
      </c>
      <c r="C4" s="20">
        <v>1</v>
      </c>
      <c r="D4" s="23" t="s">
        <v>6</v>
      </c>
      <c r="E4" s="21" t="s">
        <v>174</v>
      </c>
    </row>
    <row r="5" spans="1:5" ht="17.399999999999999" x14ac:dyDescent="0.45">
      <c r="A5" s="24">
        <v>2</v>
      </c>
      <c r="B5" s="22" t="s">
        <v>89</v>
      </c>
      <c r="C5" s="20">
        <v>1</v>
      </c>
      <c r="D5" s="23" t="s">
        <v>6</v>
      </c>
      <c r="E5" s="21" t="s">
        <v>175</v>
      </c>
    </row>
    <row r="6" spans="1:5" ht="17.399999999999999" x14ac:dyDescent="0.45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33" sqref="E33"/>
    </sheetView>
  </sheetViews>
  <sheetFormatPr baseColWidth="10" defaultRowHeight="13.2" x14ac:dyDescent="0.25"/>
  <cols>
    <col min="1" max="1" width="2.88671875" customWidth="1"/>
    <col min="2" max="3" width="12.5546875" customWidth="1"/>
    <col min="4" max="4" width="9.88671875" customWidth="1"/>
    <col min="5" max="5" width="108.6640625" customWidth="1"/>
  </cols>
  <sheetData>
    <row r="1" spans="1:5" ht="23.4" x14ac:dyDescent="0.55000000000000004">
      <c r="B1" s="79" t="s">
        <v>90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45">
      <c r="A4" s="24">
        <v>1</v>
      </c>
      <c r="B4" s="22" t="s">
        <v>92</v>
      </c>
      <c r="C4" s="20">
        <v>150</v>
      </c>
      <c r="D4" s="23" t="s">
        <v>94</v>
      </c>
      <c r="E4" s="21" t="s">
        <v>93</v>
      </c>
    </row>
    <row r="5" spans="1:5" ht="18" customHeight="1" x14ac:dyDescent="0.45">
      <c r="A5" s="24">
        <v>2</v>
      </c>
      <c r="B5" s="22" t="s">
        <v>95</v>
      </c>
      <c r="C5" s="20">
        <v>1</v>
      </c>
      <c r="D5" s="23" t="s">
        <v>7</v>
      </c>
      <c r="E5" s="21" t="s">
        <v>98</v>
      </c>
    </row>
    <row r="6" spans="1:5" ht="20.25" customHeight="1" x14ac:dyDescent="0.45">
      <c r="A6" s="24">
        <v>3</v>
      </c>
      <c r="B6" s="22" t="s">
        <v>96</v>
      </c>
      <c r="C6" s="20">
        <v>0</v>
      </c>
      <c r="D6" s="23" t="s">
        <v>7</v>
      </c>
      <c r="E6" s="21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3BFD-C055-4068-9D32-D900020EB2E0}">
  <sheetPr>
    <tabColor indexed="18"/>
  </sheetPr>
  <dimension ref="A1:E22"/>
  <sheetViews>
    <sheetView tabSelected="1" topLeftCell="A3" workbookViewId="0">
      <selection activeCell="C4" sqref="C4"/>
    </sheetView>
  </sheetViews>
  <sheetFormatPr baseColWidth="10" defaultRowHeight="13.2" x14ac:dyDescent="0.25"/>
  <cols>
    <col min="1" max="1" width="2.33203125" bestFit="1" customWidth="1"/>
    <col min="2" max="2" width="22.33203125" customWidth="1"/>
    <col min="3" max="3" width="20.44140625" bestFit="1" customWidth="1"/>
    <col min="4" max="4" width="12.88671875" bestFit="1" customWidth="1"/>
    <col min="5" max="5" width="126.5546875" customWidth="1"/>
  </cols>
  <sheetData>
    <row r="1" spans="1:5" ht="23.4" x14ac:dyDescent="0.55000000000000004">
      <c r="B1" s="79" t="s">
        <v>223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296</v>
      </c>
      <c r="C4" s="110">
        <v>2</v>
      </c>
      <c r="D4" s="110"/>
      <c r="E4" s="109" t="s">
        <v>295</v>
      </c>
    </row>
    <row r="5" spans="1:5" ht="17.399999999999999" x14ac:dyDescent="0.4">
      <c r="A5" s="24">
        <v>2</v>
      </c>
      <c r="B5" s="109" t="s">
        <v>297</v>
      </c>
      <c r="C5" s="111" t="s">
        <v>262</v>
      </c>
      <c r="D5" s="110"/>
      <c r="E5" s="109" t="s">
        <v>263</v>
      </c>
    </row>
    <row r="6" spans="1:5" ht="17.399999999999999" x14ac:dyDescent="0.4">
      <c r="A6" s="24">
        <v>3</v>
      </c>
      <c r="B6" s="109" t="s">
        <v>298</v>
      </c>
      <c r="C6" s="110">
        <v>4</v>
      </c>
      <c r="D6" s="110"/>
      <c r="E6" s="109" t="s">
        <v>264</v>
      </c>
    </row>
    <row r="7" spans="1:5" ht="17.399999999999999" x14ac:dyDescent="0.45">
      <c r="A7" s="24">
        <v>4</v>
      </c>
      <c r="B7" s="105" t="s">
        <v>224</v>
      </c>
      <c r="C7" s="106">
        <v>2</v>
      </c>
      <c r="D7" s="19" t="s">
        <v>7</v>
      </c>
      <c r="E7" s="107" t="s">
        <v>225</v>
      </c>
    </row>
    <row r="8" spans="1:5" ht="17.399999999999999" x14ac:dyDescent="0.45">
      <c r="A8" s="24">
        <v>5</v>
      </c>
      <c r="B8" s="105" t="s">
        <v>226</v>
      </c>
      <c r="C8" s="108">
        <v>2</v>
      </c>
      <c r="D8" s="19" t="s">
        <v>7</v>
      </c>
      <c r="E8" s="107" t="s">
        <v>227</v>
      </c>
    </row>
    <row r="9" spans="1:5" ht="17.399999999999999" x14ac:dyDescent="0.45">
      <c r="A9" s="24">
        <v>6</v>
      </c>
      <c r="B9" s="105" t="s">
        <v>228</v>
      </c>
      <c r="C9" s="108">
        <v>0.85</v>
      </c>
      <c r="D9" s="19" t="s">
        <v>7</v>
      </c>
      <c r="E9" s="107" t="s">
        <v>229</v>
      </c>
    </row>
    <row r="10" spans="1:5" ht="17.399999999999999" x14ac:dyDescent="0.45">
      <c r="A10" s="24">
        <v>7</v>
      </c>
      <c r="B10" s="105" t="s">
        <v>230</v>
      </c>
      <c r="C10" s="108">
        <v>2.5</v>
      </c>
      <c r="D10" s="19" t="s">
        <v>231</v>
      </c>
      <c r="E10" s="107" t="s">
        <v>232</v>
      </c>
    </row>
    <row r="11" spans="1:5" ht="17.399999999999999" x14ac:dyDescent="0.45">
      <c r="A11" s="24">
        <v>8</v>
      </c>
      <c r="B11" s="105" t="s">
        <v>233</v>
      </c>
      <c r="C11" s="108">
        <v>0.95</v>
      </c>
      <c r="D11" s="19" t="s">
        <v>7</v>
      </c>
      <c r="E11" s="107" t="s">
        <v>234</v>
      </c>
    </row>
    <row r="12" spans="1:5" ht="17.399999999999999" x14ac:dyDescent="0.45">
      <c r="A12" s="24">
        <v>9</v>
      </c>
      <c r="B12" s="105" t="s">
        <v>235</v>
      </c>
      <c r="C12" s="108">
        <v>0.95</v>
      </c>
      <c r="D12" s="19" t="s">
        <v>7</v>
      </c>
      <c r="E12" s="107" t="s">
        <v>236</v>
      </c>
    </row>
    <row r="13" spans="1:5" ht="17.399999999999999" x14ac:dyDescent="0.45">
      <c r="A13" s="24">
        <v>10</v>
      </c>
      <c r="B13" s="105" t="s">
        <v>237</v>
      </c>
      <c r="C13" s="108">
        <v>8</v>
      </c>
      <c r="D13" s="19" t="s">
        <v>5</v>
      </c>
      <c r="E13" s="107" t="s">
        <v>238</v>
      </c>
    </row>
    <row r="14" spans="1:5" ht="17.399999999999999" x14ac:dyDescent="0.45">
      <c r="A14" s="24">
        <v>11</v>
      </c>
      <c r="B14" s="105" t="s">
        <v>239</v>
      </c>
      <c r="C14" s="108">
        <v>8</v>
      </c>
      <c r="D14" s="19" t="s">
        <v>5</v>
      </c>
      <c r="E14" s="107" t="s">
        <v>240</v>
      </c>
    </row>
    <row r="15" spans="1:5" ht="17.399999999999999" x14ac:dyDescent="0.45">
      <c r="A15" s="24">
        <v>12</v>
      </c>
      <c r="B15" s="105" t="s">
        <v>241</v>
      </c>
      <c r="C15" s="108">
        <v>6000</v>
      </c>
      <c r="D15" s="19" t="s">
        <v>7</v>
      </c>
      <c r="E15" s="107" t="s">
        <v>242</v>
      </c>
    </row>
    <row r="16" spans="1:5" ht="17.399999999999999" x14ac:dyDescent="0.45">
      <c r="A16" s="24">
        <v>13</v>
      </c>
      <c r="B16" s="105" t="s">
        <v>243</v>
      </c>
      <c r="C16" s="108">
        <v>0.8</v>
      </c>
      <c r="D16" s="19" t="s">
        <v>7</v>
      </c>
      <c r="E16" s="107" t="s">
        <v>244</v>
      </c>
    </row>
    <row r="17" spans="1:5" ht="17.399999999999999" x14ac:dyDescent="0.45">
      <c r="A17" s="24">
        <v>14</v>
      </c>
      <c r="B17" s="105" t="s">
        <v>245</v>
      </c>
      <c r="C17" s="108">
        <v>10</v>
      </c>
      <c r="D17" s="19" t="s">
        <v>246</v>
      </c>
      <c r="E17" s="107" t="s">
        <v>247</v>
      </c>
    </row>
    <row r="18" spans="1:5" ht="17.399999999999999" x14ac:dyDescent="0.45">
      <c r="A18" s="24">
        <v>15</v>
      </c>
      <c r="B18" s="105" t="s">
        <v>299</v>
      </c>
      <c r="C18" s="108">
        <v>0</v>
      </c>
      <c r="D18" s="19" t="s">
        <v>248</v>
      </c>
      <c r="E18" s="107" t="s">
        <v>249</v>
      </c>
    </row>
    <row r="19" spans="1:5" ht="17.399999999999999" x14ac:dyDescent="0.45">
      <c r="A19" s="24">
        <v>16</v>
      </c>
      <c r="B19" s="105" t="s">
        <v>300</v>
      </c>
      <c r="C19" s="108">
        <v>45</v>
      </c>
      <c r="D19" s="19" t="s">
        <v>248</v>
      </c>
      <c r="E19" s="107" t="s">
        <v>250</v>
      </c>
    </row>
    <row r="20" spans="1:5" ht="17.399999999999999" x14ac:dyDescent="0.45">
      <c r="A20" s="24">
        <v>17</v>
      </c>
      <c r="B20" s="105" t="s">
        <v>301</v>
      </c>
      <c r="C20" s="108">
        <v>-20</v>
      </c>
      <c r="D20" s="19" t="s">
        <v>248</v>
      </c>
      <c r="E20" s="107" t="s">
        <v>251</v>
      </c>
    </row>
    <row r="21" spans="1:5" ht="17.399999999999999" x14ac:dyDescent="0.45">
      <c r="A21" s="24">
        <v>18</v>
      </c>
      <c r="B21" s="105" t="s">
        <v>302</v>
      </c>
      <c r="C21" s="108">
        <v>60</v>
      </c>
      <c r="D21" s="19" t="s">
        <v>248</v>
      </c>
      <c r="E21" s="107" t="s">
        <v>252</v>
      </c>
    </row>
    <row r="22" spans="1:5" ht="17.399999999999999" x14ac:dyDescent="0.45">
      <c r="A22" s="24">
        <v>19</v>
      </c>
      <c r="B22" s="105" t="s">
        <v>253</v>
      </c>
      <c r="C22" s="108">
        <v>3</v>
      </c>
      <c r="D22" s="19" t="s">
        <v>254</v>
      </c>
      <c r="E22" s="107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topLeftCell="A11" workbookViewId="0">
      <selection activeCell="D18" sqref="D18"/>
    </sheetView>
  </sheetViews>
  <sheetFormatPr baseColWidth="10" defaultRowHeight="13.2" x14ac:dyDescent="0.25"/>
  <cols>
    <col min="1" max="1" width="2.5546875" customWidth="1"/>
    <col min="2" max="2" width="15" customWidth="1"/>
    <col min="3" max="3" width="10.88671875" customWidth="1"/>
    <col min="4" max="4" width="13" customWidth="1"/>
    <col min="5" max="5" width="70.109375" customWidth="1"/>
    <col min="6" max="6" width="21.33203125" customWidth="1"/>
    <col min="7" max="7" width="10.6640625" customWidth="1"/>
    <col min="8" max="8" width="7.5546875" customWidth="1"/>
    <col min="9" max="9" width="7.88671875" customWidth="1"/>
  </cols>
  <sheetData>
    <row r="1" spans="1:10" ht="23.4" x14ac:dyDescent="0.55000000000000004">
      <c r="B1" s="79" t="s">
        <v>91</v>
      </c>
      <c r="C1" s="79"/>
      <c r="D1" s="81"/>
      <c r="E1" s="78"/>
    </row>
    <row r="2" spans="1:10" x14ac:dyDescent="0.25">
      <c r="A2" s="60"/>
    </row>
    <row r="3" spans="1:10" ht="17.399999999999999" x14ac:dyDescent="0.4">
      <c r="A3" s="24"/>
      <c r="B3" s="4" t="s">
        <v>102</v>
      </c>
      <c r="C3" s="5"/>
      <c r="D3" s="5"/>
      <c r="E3" s="4"/>
      <c r="J3" s="25"/>
    </row>
    <row r="4" spans="1:10" ht="17.399999999999999" x14ac:dyDescent="0.4">
      <c r="A4" s="24">
        <v>1</v>
      </c>
      <c r="B4" s="65" t="s">
        <v>99</v>
      </c>
      <c r="C4" s="66" t="s">
        <v>101</v>
      </c>
      <c r="D4" s="8"/>
      <c r="E4" s="2"/>
    </row>
    <row r="5" spans="1:10" ht="17.399999999999999" x14ac:dyDescent="0.4">
      <c r="A5" s="24">
        <v>2</v>
      </c>
      <c r="B5" s="68" t="s">
        <v>18</v>
      </c>
      <c r="C5" s="72">
        <v>50</v>
      </c>
      <c r="D5" s="8"/>
      <c r="E5" s="2"/>
    </row>
    <row r="6" spans="1:10" ht="17.399999999999999" x14ac:dyDescent="0.4">
      <c r="A6" s="24">
        <v>3</v>
      </c>
      <c r="B6" s="69" t="s">
        <v>19</v>
      </c>
      <c r="C6" s="73">
        <v>50</v>
      </c>
      <c r="D6" s="8"/>
      <c r="E6" s="2"/>
    </row>
    <row r="7" spans="1:10" ht="17.399999999999999" x14ac:dyDescent="0.4">
      <c r="A7" s="24">
        <v>4</v>
      </c>
      <c r="B7" s="69" t="s">
        <v>20</v>
      </c>
      <c r="C7" s="73">
        <v>50</v>
      </c>
      <c r="D7" s="8"/>
      <c r="E7" s="2"/>
    </row>
    <row r="8" spans="1:10" ht="17.399999999999999" x14ac:dyDescent="0.4">
      <c r="A8" s="24">
        <v>5</v>
      </c>
      <c r="B8" s="69" t="s">
        <v>21</v>
      </c>
      <c r="C8" s="73">
        <v>50</v>
      </c>
      <c r="D8" s="8"/>
      <c r="E8" s="2"/>
    </row>
    <row r="9" spans="1:10" ht="17.399999999999999" x14ac:dyDescent="0.4">
      <c r="A9" s="24">
        <v>6</v>
      </c>
      <c r="B9" s="69" t="s">
        <v>0</v>
      </c>
      <c r="C9" s="73">
        <v>50</v>
      </c>
      <c r="D9" s="8"/>
      <c r="E9" s="2"/>
    </row>
    <row r="10" spans="1:10" ht="17.399999999999999" x14ac:dyDescent="0.4">
      <c r="A10" s="24">
        <v>7</v>
      </c>
      <c r="B10" s="69" t="s">
        <v>22</v>
      </c>
      <c r="C10" s="73">
        <v>50</v>
      </c>
      <c r="D10" s="8"/>
      <c r="E10" s="2"/>
    </row>
    <row r="11" spans="1:10" ht="17.399999999999999" x14ac:dyDescent="0.4">
      <c r="A11" s="24">
        <v>8</v>
      </c>
      <c r="B11" s="69" t="s">
        <v>23</v>
      </c>
      <c r="C11" s="73">
        <v>50</v>
      </c>
      <c r="D11" s="8"/>
      <c r="E11" s="2"/>
    </row>
    <row r="12" spans="1:10" ht="17.399999999999999" x14ac:dyDescent="0.4">
      <c r="A12" s="24">
        <v>9</v>
      </c>
      <c r="B12" s="69" t="s">
        <v>24</v>
      </c>
      <c r="C12" s="73">
        <v>50</v>
      </c>
      <c r="D12" s="8"/>
      <c r="E12" s="2"/>
    </row>
    <row r="13" spans="1:10" ht="17.399999999999999" x14ac:dyDescent="0.4">
      <c r="A13" s="24">
        <v>10</v>
      </c>
      <c r="B13" s="69" t="s">
        <v>25</v>
      </c>
      <c r="C13" s="73">
        <v>50</v>
      </c>
      <c r="D13" s="8"/>
      <c r="E13" s="2"/>
    </row>
    <row r="14" spans="1:10" ht="17.399999999999999" x14ac:dyDescent="0.4">
      <c r="A14" s="24">
        <v>11</v>
      </c>
      <c r="B14" s="69" t="s">
        <v>26</v>
      </c>
      <c r="C14" s="73">
        <v>50</v>
      </c>
      <c r="D14" s="8"/>
      <c r="E14" s="2"/>
    </row>
    <row r="15" spans="1:10" ht="17.399999999999999" x14ac:dyDescent="0.4">
      <c r="A15" s="24">
        <v>12</v>
      </c>
      <c r="B15" s="69" t="s">
        <v>27</v>
      </c>
      <c r="C15" s="73">
        <v>50</v>
      </c>
      <c r="D15" s="8"/>
      <c r="E15" s="2"/>
    </row>
    <row r="16" spans="1:10" ht="17.399999999999999" x14ac:dyDescent="0.4">
      <c r="A16" s="24">
        <v>13</v>
      </c>
      <c r="B16" s="70" t="s">
        <v>28</v>
      </c>
      <c r="C16" s="74">
        <v>50</v>
      </c>
      <c r="D16" s="8"/>
      <c r="E16" s="2"/>
    </row>
    <row r="17" spans="1:8" ht="17.399999999999999" x14ac:dyDescent="0.4">
      <c r="A17" s="24">
        <v>14</v>
      </c>
      <c r="B17" s="61" t="s">
        <v>100</v>
      </c>
      <c r="C17" s="67">
        <f>31*C5+28*C6+31*C7+30*C8+31*C9+30*C10+31*C11+31*C12+30*C13+31*C14+30*C15+31*C16</f>
        <v>18250</v>
      </c>
      <c r="D17" s="62"/>
      <c r="E17" s="61" t="s">
        <v>109</v>
      </c>
    </row>
    <row r="18" spans="1:8" x14ac:dyDescent="0.25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7.399999999999999" x14ac:dyDescent="0.4">
      <c r="A20" s="24">
        <v>17</v>
      </c>
      <c r="B20" s="4" t="s">
        <v>107</v>
      </c>
      <c r="C20" s="5"/>
      <c r="D20" s="5"/>
      <c r="E20" s="4"/>
    </row>
    <row r="21" spans="1:8" ht="17.399999999999999" x14ac:dyDescent="0.4">
      <c r="A21" s="24">
        <v>18</v>
      </c>
      <c r="B21" s="25"/>
      <c r="C21" s="12"/>
      <c r="D21" s="12"/>
      <c r="E21" s="25"/>
    </row>
    <row r="22" spans="1:8" ht="17.399999999999999" x14ac:dyDescent="0.4">
      <c r="A22" s="24">
        <v>19</v>
      </c>
      <c r="B22" s="37" t="s">
        <v>103</v>
      </c>
      <c r="C22" s="37" t="s">
        <v>105</v>
      </c>
      <c r="D22" s="9"/>
      <c r="E22" s="2" t="s">
        <v>106</v>
      </c>
    </row>
    <row r="23" spans="1:8" ht="18" x14ac:dyDescent="0.45">
      <c r="A23" s="24">
        <v>20</v>
      </c>
      <c r="B23" s="38">
        <v>1</v>
      </c>
      <c r="C23" s="75">
        <v>5.8000000000000003E-2</v>
      </c>
      <c r="D23" s="19"/>
      <c r="E23" s="2" t="s">
        <v>104</v>
      </c>
    </row>
    <row r="24" spans="1:8" ht="18" x14ac:dyDescent="0.45">
      <c r="A24" s="24">
        <v>21</v>
      </c>
      <c r="B24" s="39">
        <v>2</v>
      </c>
      <c r="C24" s="76">
        <v>3.2000000000000001E-2</v>
      </c>
      <c r="D24" s="19"/>
    </row>
    <row r="25" spans="1:8" ht="19.8" x14ac:dyDescent="0.45">
      <c r="A25" s="24">
        <v>22</v>
      </c>
      <c r="B25" s="39">
        <v>3</v>
      </c>
      <c r="C25" s="76">
        <v>1.7999999999999999E-2</v>
      </c>
      <c r="D25" s="11"/>
      <c r="F25" s="4" t="s">
        <v>124</v>
      </c>
      <c r="G25" s="71">
        <f>MAX(C5:C16)*MAX(C23:C46)</f>
        <v>7.1999999999999993</v>
      </c>
      <c r="H25" s="5" t="s">
        <v>5</v>
      </c>
    </row>
    <row r="26" spans="1:8" ht="17.399999999999999" x14ac:dyDescent="0.4">
      <c r="A26" s="24">
        <v>23</v>
      </c>
      <c r="B26" s="39">
        <v>4</v>
      </c>
      <c r="C26" s="76">
        <v>1.4999999999999999E-2</v>
      </c>
      <c r="D26" s="11"/>
    </row>
    <row r="27" spans="1:8" ht="17.399999999999999" x14ac:dyDescent="0.4">
      <c r="A27" s="24">
        <v>24</v>
      </c>
      <c r="B27" s="39">
        <v>5</v>
      </c>
      <c r="C27" s="76">
        <v>1.4E-2</v>
      </c>
      <c r="D27" s="11"/>
    </row>
    <row r="28" spans="1:8" ht="17.399999999999999" x14ac:dyDescent="0.4">
      <c r="A28" s="24">
        <v>25</v>
      </c>
      <c r="B28" s="39">
        <v>6</v>
      </c>
      <c r="C28" s="76">
        <v>1.7999999999999999E-2</v>
      </c>
      <c r="D28" s="11"/>
    </row>
    <row r="29" spans="1:8" ht="17.399999999999999" x14ac:dyDescent="0.4">
      <c r="A29" s="24">
        <v>26</v>
      </c>
      <c r="B29" s="39">
        <v>7</v>
      </c>
      <c r="C29" s="76">
        <v>3.4000000000000002E-2</v>
      </c>
      <c r="D29" s="11"/>
    </row>
    <row r="30" spans="1:8" ht="17.399999999999999" x14ac:dyDescent="0.4">
      <c r="A30" s="24">
        <v>27</v>
      </c>
      <c r="B30" s="39">
        <v>8</v>
      </c>
      <c r="C30" s="76">
        <v>0.03</v>
      </c>
      <c r="D30" s="11"/>
    </row>
    <row r="31" spans="1:8" ht="17.399999999999999" x14ac:dyDescent="0.4">
      <c r="A31" s="24">
        <v>28</v>
      </c>
      <c r="B31" s="39">
        <v>9</v>
      </c>
      <c r="C31" s="76">
        <v>1.9E-2</v>
      </c>
      <c r="D31" s="11"/>
    </row>
    <row r="32" spans="1:8" ht="17.399999999999999" x14ac:dyDescent="0.4">
      <c r="A32" s="24">
        <v>29</v>
      </c>
      <c r="B32" s="39">
        <v>10</v>
      </c>
      <c r="C32" s="76">
        <v>1.7000000000000001E-2</v>
      </c>
      <c r="D32" s="11"/>
    </row>
    <row r="33" spans="1:4" ht="17.399999999999999" x14ac:dyDescent="0.4">
      <c r="A33" s="24">
        <v>30</v>
      </c>
      <c r="B33" s="39">
        <v>11</v>
      </c>
      <c r="C33" s="76">
        <v>1.7999999999999999E-2</v>
      </c>
      <c r="D33" s="11"/>
    </row>
    <row r="34" spans="1:4" ht="17.399999999999999" x14ac:dyDescent="0.4">
      <c r="A34" s="24">
        <v>31</v>
      </c>
      <c r="B34" s="39">
        <v>12</v>
      </c>
      <c r="C34" s="76">
        <v>2.1000000000000001E-2</v>
      </c>
      <c r="D34" s="11"/>
    </row>
    <row r="35" spans="1:4" ht="17.399999999999999" x14ac:dyDescent="0.4">
      <c r="A35" s="24">
        <v>32</v>
      </c>
      <c r="B35" s="39">
        <v>13</v>
      </c>
      <c r="C35" s="76">
        <v>2.7E-2</v>
      </c>
      <c r="D35" s="11"/>
    </row>
    <row r="36" spans="1:4" ht="17.399999999999999" x14ac:dyDescent="0.4">
      <c r="A36" s="24">
        <v>33</v>
      </c>
      <c r="B36" s="39">
        <v>14</v>
      </c>
      <c r="C36" s="76">
        <v>3.1E-2</v>
      </c>
      <c r="D36" s="11"/>
    </row>
    <row r="37" spans="1:4" ht="17.399999999999999" x14ac:dyDescent="0.4">
      <c r="A37" s="24">
        <v>34</v>
      </c>
      <c r="B37" s="39">
        <v>15</v>
      </c>
      <c r="C37" s="76">
        <v>3.5999999999999997E-2</v>
      </c>
      <c r="D37" s="11"/>
    </row>
    <row r="38" spans="1:4" ht="17.399999999999999" x14ac:dyDescent="0.4">
      <c r="A38" s="24">
        <v>35</v>
      </c>
      <c r="B38" s="39">
        <v>16</v>
      </c>
      <c r="C38" s="76">
        <v>5.1999999999999998E-2</v>
      </c>
      <c r="D38" s="11"/>
    </row>
    <row r="39" spans="1:4" ht="17.399999999999999" x14ac:dyDescent="0.4">
      <c r="A39" s="24">
        <v>36</v>
      </c>
      <c r="B39" s="39">
        <v>17</v>
      </c>
      <c r="C39" s="76">
        <v>5.0999999999999997E-2</v>
      </c>
      <c r="D39" s="11"/>
    </row>
    <row r="40" spans="1:4" ht="17.399999999999999" x14ac:dyDescent="0.4">
      <c r="A40" s="24">
        <v>37</v>
      </c>
      <c r="B40" s="39">
        <v>18</v>
      </c>
      <c r="C40" s="76">
        <v>3.5999999999999997E-2</v>
      </c>
      <c r="D40" s="11"/>
    </row>
    <row r="41" spans="1:4" ht="17.399999999999999" x14ac:dyDescent="0.4">
      <c r="A41" s="24">
        <v>38</v>
      </c>
      <c r="B41" s="39">
        <v>19</v>
      </c>
      <c r="C41" s="76">
        <v>2.5000000000000001E-2</v>
      </c>
      <c r="D41" s="11"/>
    </row>
    <row r="42" spans="1:4" ht="17.399999999999999" x14ac:dyDescent="0.4">
      <c r="A42" s="24">
        <v>39</v>
      </c>
      <c r="B42" s="39">
        <v>20</v>
      </c>
      <c r="C42" s="76">
        <v>2.4E-2</v>
      </c>
      <c r="D42" s="11"/>
    </row>
    <row r="43" spans="1:4" ht="17.399999999999999" x14ac:dyDescent="0.4">
      <c r="A43" s="24">
        <v>40</v>
      </c>
      <c r="B43" s="39">
        <v>21</v>
      </c>
      <c r="C43" s="76">
        <v>4.4999999999999998E-2</v>
      </c>
      <c r="D43" s="11"/>
    </row>
    <row r="44" spans="1:4" ht="17.399999999999999" x14ac:dyDescent="0.4">
      <c r="A44" s="24">
        <v>41</v>
      </c>
      <c r="B44" s="39">
        <v>22</v>
      </c>
      <c r="C44" s="76">
        <v>0.11700000000000001</v>
      </c>
      <c r="D44" s="11"/>
    </row>
    <row r="45" spans="1:4" ht="17.399999999999999" x14ac:dyDescent="0.4">
      <c r="A45" s="24">
        <v>42</v>
      </c>
      <c r="B45" s="39">
        <v>23</v>
      </c>
      <c r="C45" s="76">
        <v>0.14399999999999999</v>
      </c>
      <c r="D45" s="11"/>
    </row>
    <row r="46" spans="1:4" ht="17.399999999999999" x14ac:dyDescent="0.4">
      <c r="A46" s="24">
        <v>43</v>
      </c>
      <c r="B46" s="40">
        <v>24</v>
      </c>
      <c r="C46" s="77">
        <v>0.11799999999999999</v>
      </c>
      <c r="D46" s="11"/>
    </row>
    <row r="47" spans="1:4" ht="17.399999999999999" x14ac:dyDescent="0.4">
      <c r="B47" s="2" t="s">
        <v>100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topLeftCell="B1" zoomScaleNormal="100" workbookViewId="0">
      <selection activeCell="H10" sqref="H10"/>
    </sheetView>
  </sheetViews>
  <sheetFormatPr baseColWidth="10" defaultRowHeight="13.2" x14ac:dyDescent="0.25"/>
  <cols>
    <col min="1" max="1" width="2.44140625" customWidth="1"/>
    <col min="2" max="2" width="21" customWidth="1"/>
    <col min="3" max="3" width="16.109375" customWidth="1"/>
    <col min="4" max="4" width="19.109375" customWidth="1"/>
    <col min="5" max="5" width="43.109375" customWidth="1"/>
    <col min="6" max="6" width="11.44140625" customWidth="1"/>
  </cols>
  <sheetData>
    <row r="1" spans="1:9" ht="23.4" x14ac:dyDescent="0.55000000000000004">
      <c r="A1" s="11"/>
      <c r="B1" s="79" t="s">
        <v>108</v>
      </c>
      <c r="C1" s="79"/>
      <c r="D1" s="81"/>
      <c r="E1" s="78"/>
    </row>
    <row r="2" spans="1:9" ht="17.399999999999999" x14ac:dyDescent="0.4">
      <c r="A2" s="11"/>
      <c r="B2" s="2"/>
      <c r="C2" s="2"/>
      <c r="D2" s="11"/>
      <c r="E2" s="2"/>
    </row>
    <row r="3" spans="1:9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129</v>
      </c>
      <c r="C4" s="100">
        <v>10</v>
      </c>
      <c r="D4" s="33" t="s">
        <v>5</v>
      </c>
      <c r="E4" s="27" t="s">
        <v>130</v>
      </c>
      <c r="F4" s="63"/>
    </row>
    <row r="5" spans="1:9" ht="17.399999999999999" x14ac:dyDescent="0.4">
      <c r="A5" s="24">
        <v>2</v>
      </c>
      <c r="B5" s="22" t="s">
        <v>125</v>
      </c>
      <c r="C5" s="100">
        <v>0.2</v>
      </c>
      <c r="D5" s="33" t="s">
        <v>7</v>
      </c>
      <c r="E5" s="27" t="s">
        <v>127</v>
      </c>
    </row>
    <row r="6" spans="1:9" ht="20.25" customHeight="1" x14ac:dyDescent="0.4">
      <c r="A6" s="24">
        <v>3</v>
      </c>
      <c r="B6" s="22" t="s">
        <v>126</v>
      </c>
      <c r="C6" s="100">
        <v>0.3</v>
      </c>
      <c r="D6" s="33" t="s">
        <v>7</v>
      </c>
      <c r="E6" s="27" t="s">
        <v>128</v>
      </c>
    </row>
    <row r="7" spans="1:9" ht="15" x14ac:dyDescent="0.35">
      <c r="A7" s="24">
        <v>4</v>
      </c>
      <c r="D7" s="11"/>
    </row>
    <row r="8" spans="1:9" ht="17.399999999999999" x14ac:dyDescent="0.4">
      <c r="A8" s="24">
        <v>5</v>
      </c>
      <c r="B8" s="4" t="s">
        <v>138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145</v>
      </c>
      <c r="C9" s="100">
        <v>3.3671899999999999</v>
      </c>
      <c r="D9" s="33" t="s">
        <v>147</v>
      </c>
      <c r="E9" s="27" t="s">
        <v>149</v>
      </c>
    </row>
    <row r="10" spans="1:9" ht="21" customHeight="1" x14ac:dyDescent="0.25">
      <c r="A10" s="24">
        <v>7</v>
      </c>
      <c r="B10" s="22" t="s">
        <v>146</v>
      </c>
      <c r="C10" s="101">
        <v>2.0310000000000002E-2</v>
      </c>
      <c r="D10" s="87" t="s">
        <v>139</v>
      </c>
      <c r="E10" s="27" t="s">
        <v>148</v>
      </c>
      <c r="I10" s="27"/>
    </row>
    <row r="11" spans="1:9" ht="19.5" customHeight="1" x14ac:dyDescent="0.25">
      <c r="A11" s="24">
        <v>8</v>
      </c>
      <c r="B11" s="22" t="s">
        <v>144</v>
      </c>
      <c r="C11" s="101">
        <v>0.25097999999999998</v>
      </c>
      <c r="D11" s="87" t="s">
        <v>140</v>
      </c>
      <c r="E11" s="27" t="s">
        <v>150</v>
      </c>
    </row>
    <row r="12" spans="1:9" ht="19.5" customHeight="1" x14ac:dyDescent="0.25">
      <c r="A12" s="24">
        <v>9</v>
      </c>
      <c r="B12" s="22" t="s">
        <v>143</v>
      </c>
      <c r="C12" s="102">
        <v>-1.1800000000000001E-5</v>
      </c>
      <c r="D12" s="87" t="s">
        <v>152</v>
      </c>
      <c r="E12" s="27" t="s">
        <v>151</v>
      </c>
    </row>
    <row r="13" spans="1:9" ht="19.5" customHeight="1" x14ac:dyDescent="0.25">
      <c r="A13" s="24">
        <v>10</v>
      </c>
      <c r="B13" s="22"/>
      <c r="C13" s="86"/>
      <c r="D13" s="87"/>
      <c r="E13" s="27"/>
    </row>
    <row r="14" spans="1:9" ht="19.5" customHeight="1" x14ac:dyDescent="0.4">
      <c r="A14" s="24">
        <v>11</v>
      </c>
      <c r="B14" s="42" t="s">
        <v>142</v>
      </c>
      <c r="C14" s="43"/>
      <c r="D14" s="87"/>
      <c r="E14" s="27"/>
    </row>
    <row r="15" spans="1:9" ht="19.5" customHeight="1" x14ac:dyDescent="0.4">
      <c r="A15" s="24">
        <v>12</v>
      </c>
      <c r="B15" s="36" t="s">
        <v>170</v>
      </c>
      <c r="C15" s="88" t="s">
        <v>141</v>
      </c>
      <c r="D15" s="87"/>
      <c r="E15" s="27"/>
    </row>
    <row r="16" spans="1:9" ht="19.5" customHeight="1" x14ac:dyDescent="0.25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7.399999999999999" x14ac:dyDescent="0.35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7.399999999999999" x14ac:dyDescent="0.4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7.399999999999999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7.399999999999999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7.399999999999999" x14ac:dyDescent="0.4">
      <c r="D21" s="33"/>
      <c r="E21" s="2"/>
    </row>
    <row r="22" spans="1:5" ht="17.399999999999999" x14ac:dyDescent="0.4">
      <c r="D22" s="9"/>
      <c r="E22" s="2"/>
    </row>
    <row r="23" spans="1:5" ht="17.399999999999999" x14ac:dyDescent="0.4">
      <c r="D23" s="9"/>
      <c r="E23" s="2"/>
    </row>
    <row r="24" spans="1:5" ht="17.399999999999999" x14ac:dyDescent="0.4">
      <c r="D24" s="9"/>
    </row>
    <row r="25" spans="1:5" ht="15" x14ac:dyDescent="0.35">
      <c r="D25" s="11"/>
    </row>
    <row r="26" spans="1:5" ht="15" x14ac:dyDescent="0.35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zoomScaleNormal="100" workbookViewId="0">
      <selection activeCell="H8" sqref="H8"/>
    </sheetView>
  </sheetViews>
  <sheetFormatPr baseColWidth="10" defaultRowHeight="13.2" x14ac:dyDescent="0.25"/>
  <cols>
    <col min="1" max="1" width="2.5546875" customWidth="1"/>
    <col min="2" max="2" width="19.5546875" customWidth="1"/>
    <col min="3" max="3" width="13.88671875" customWidth="1"/>
    <col min="4" max="4" width="12" customWidth="1"/>
    <col min="5" max="5" width="53" customWidth="1"/>
  </cols>
  <sheetData>
    <row r="1" spans="1:12" ht="23.4" x14ac:dyDescent="0.55000000000000004">
      <c r="A1" s="11"/>
      <c r="B1" s="79" t="s">
        <v>154</v>
      </c>
      <c r="C1" s="79"/>
      <c r="D1" s="81"/>
      <c r="E1" s="78"/>
    </row>
    <row r="2" spans="1:12" ht="17.399999999999999" x14ac:dyDescent="0.4">
      <c r="A2" s="11"/>
      <c r="B2" s="2"/>
      <c r="C2" s="2"/>
      <c r="D2" s="11"/>
      <c r="E2" s="2"/>
    </row>
    <row r="3" spans="1:12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159</v>
      </c>
      <c r="C4" s="100">
        <v>20</v>
      </c>
      <c r="D4" s="33" t="s">
        <v>5</v>
      </c>
      <c r="E4" s="22" t="s">
        <v>169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165</v>
      </c>
      <c r="C5" s="101">
        <v>10</v>
      </c>
      <c r="D5" s="33" t="s">
        <v>153</v>
      </c>
      <c r="E5" s="22" t="s">
        <v>155</v>
      </c>
      <c r="J5" s="92"/>
      <c r="K5" s="92"/>
      <c r="L5" s="92"/>
    </row>
    <row r="6" spans="1:12" ht="21" customHeight="1" x14ac:dyDescent="0.4">
      <c r="A6" s="24">
        <v>3</v>
      </c>
      <c r="B6" s="22" t="s">
        <v>163</v>
      </c>
      <c r="C6" s="100">
        <v>3</v>
      </c>
      <c r="D6" s="33" t="s">
        <v>153</v>
      </c>
      <c r="E6" s="22" t="s">
        <v>156</v>
      </c>
      <c r="J6" s="92"/>
      <c r="K6" s="92"/>
      <c r="L6" s="92"/>
    </row>
    <row r="7" spans="1:12" ht="17.399999999999999" x14ac:dyDescent="0.4">
      <c r="A7" s="24">
        <v>4</v>
      </c>
      <c r="B7" s="22" t="s">
        <v>164</v>
      </c>
      <c r="C7" s="100">
        <v>15</v>
      </c>
      <c r="D7" s="33" t="s">
        <v>153</v>
      </c>
      <c r="E7" s="22" t="s">
        <v>157</v>
      </c>
    </row>
    <row r="8" spans="1:12" ht="19.5" customHeight="1" x14ac:dyDescent="0.4">
      <c r="A8" s="24">
        <v>5</v>
      </c>
      <c r="B8" s="22" t="s">
        <v>167</v>
      </c>
      <c r="C8" s="99">
        <f>C4/(C5^3-C6^3)</f>
        <v>2.0554984583761562E-2</v>
      </c>
      <c r="D8" s="33" t="s">
        <v>166</v>
      </c>
      <c r="E8" s="22" t="s">
        <v>168</v>
      </c>
      <c r="F8" s="25"/>
    </row>
    <row r="9" spans="1:12" ht="17.399999999999999" x14ac:dyDescent="0.4">
      <c r="A9" s="24">
        <v>6</v>
      </c>
      <c r="B9" s="4" t="s">
        <v>158</v>
      </c>
      <c r="C9" s="82"/>
      <c r="D9" s="85"/>
      <c r="E9" s="82"/>
      <c r="F9" s="12"/>
      <c r="G9" s="12"/>
    </row>
    <row r="10" spans="1:12" ht="19.5" customHeight="1" x14ac:dyDescent="0.4">
      <c r="A10" s="24">
        <v>7</v>
      </c>
      <c r="B10" s="88" t="s">
        <v>160</v>
      </c>
      <c r="C10" s="88" t="s">
        <v>161</v>
      </c>
      <c r="D10" s="87"/>
      <c r="E10" s="27"/>
    </row>
    <row r="11" spans="1:12" ht="19.5" customHeight="1" x14ac:dyDescent="0.25">
      <c r="A11" s="24">
        <v>8</v>
      </c>
      <c r="B11" s="93">
        <v>0</v>
      </c>
      <c r="C11" s="89">
        <v>0</v>
      </c>
      <c r="D11" s="87"/>
      <c r="E11" s="27"/>
    </row>
    <row r="12" spans="1:12" ht="17.399999999999999" x14ac:dyDescent="0.35">
      <c r="A12" s="24">
        <v>9</v>
      </c>
      <c r="B12" s="94">
        <f>C6</f>
        <v>3</v>
      </c>
      <c r="C12" s="90">
        <v>0</v>
      </c>
      <c r="D12" s="11"/>
    </row>
    <row r="13" spans="1:12" ht="17.399999999999999" x14ac:dyDescent="0.4">
      <c r="A13" s="24">
        <v>10</v>
      </c>
      <c r="B13" s="94">
        <f>$B$12+0.2*($B$17-$B$12)</f>
        <v>4.4000000000000004</v>
      </c>
      <c r="C13" s="90">
        <f>$C$8*(B13^3-$C$6^3)</f>
        <v>1.1959712230215833</v>
      </c>
      <c r="D13" s="12"/>
      <c r="E13" s="25"/>
    </row>
    <row r="14" spans="1:12" ht="17.399999999999999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3.4555395683453254</v>
      </c>
      <c r="D14" s="33"/>
    </row>
    <row r="15" spans="1:12" ht="17.399999999999999" x14ac:dyDescent="0.4">
      <c r="A15" s="24">
        <v>12</v>
      </c>
      <c r="B15" s="94">
        <f>$B$12+0.6*($B$17-$B$12)</f>
        <v>7.2</v>
      </c>
      <c r="C15" s="90">
        <f t="shared" si="0"/>
        <v>7.1171223021582746</v>
      </c>
      <c r="D15" s="33"/>
      <c r="E15" s="27"/>
    </row>
    <row r="16" spans="1:12" ht="17.399999999999999" x14ac:dyDescent="0.4">
      <c r="A16" s="24">
        <v>13</v>
      </c>
      <c r="B16" s="94">
        <f>$B$12+0.8*($B$17-$B$12)</f>
        <v>8.6000000000000014</v>
      </c>
      <c r="C16" s="90">
        <f t="shared" si="0"/>
        <v>12.519136690647487</v>
      </c>
      <c r="D16" s="33"/>
      <c r="E16" s="2"/>
    </row>
    <row r="17" spans="1:5" ht="17.399999999999999" x14ac:dyDescent="0.4">
      <c r="A17" s="24">
        <v>14</v>
      </c>
      <c r="B17" s="94">
        <f>C5</f>
        <v>10</v>
      </c>
      <c r="C17" s="90">
        <f>C4</f>
        <v>20</v>
      </c>
      <c r="D17" s="9"/>
      <c r="E17" s="2"/>
    </row>
    <row r="18" spans="1:5" ht="17.399999999999999" x14ac:dyDescent="0.4">
      <c r="A18" s="24">
        <v>15</v>
      </c>
      <c r="B18" s="94">
        <f>C7</f>
        <v>15</v>
      </c>
      <c r="C18" s="90">
        <f>C4</f>
        <v>20</v>
      </c>
      <c r="D18" s="9"/>
    </row>
    <row r="19" spans="1:5" ht="17.399999999999999" x14ac:dyDescent="0.35">
      <c r="A19" s="24">
        <v>16</v>
      </c>
      <c r="B19" s="95">
        <f>C7</f>
        <v>15</v>
      </c>
      <c r="C19" s="91">
        <v>0</v>
      </c>
      <c r="D19" s="11"/>
    </row>
    <row r="20" spans="1:5" ht="15" x14ac:dyDescent="0.35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workbookViewId="0">
      <selection activeCell="C83" sqref="C83"/>
    </sheetView>
  </sheetViews>
  <sheetFormatPr baseColWidth="10" defaultRowHeight="13.2" x14ac:dyDescent="0.25"/>
  <cols>
    <col min="1" max="1" width="2.44140625" customWidth="1"/>
    <col min="2" max="2" width="22" customWidth="1"/>
    <col min="3" max="3" width="16" style="48" customWidth="1"/>
    <col min="4" max="4" width="12.109375" customWidth="1"/>
    <col min="5" max="5" width="46" customWidth="1"/>
    <col min="6" max="6" width="12.109375" customWidth="1"/>
  </cols>
  <sheetData>
    <row r="1" spans="1:5" ht="23.4" x14ac:dyDescent="0.55000000000000004">
      <c r="A1" s="11"/>
      <c r="B1" s="79" t="s">
        <v>51</v>
      </c>
      <c r="C1" s="80"/>
      <c r="D1" s="81"/>
      <c r="E1" s="78"/>
    </row>
    <row r="2" spans="1:5" ht="17.399999999999999" x14ac:dyDescent="0.4">
      <c r="A2" s="11"/>
      <c r="B2" s="2"/>
      <c r="C2" s="8"/>
      <c r="D2" s="11"/>
      <c r="E2" s="2"/>
    </row>
    <row r="3" spans="1:5" ht="17.399999999999999" x14ac:dyDescent="0.4">
      <c r="A3" s="11"/>
      <c r="B3" s="4" t="s">
        <v>191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22" t="s">
        <v>192</v>
      </c>
      <c r="C4" s="20">
        <v>12</v>
      </c>
      <c r="D4" s="33" t="s">
        <v>53</v>
      </c>
      <c r="E4" s="27" t="s">
        <v>193</v>
      </c>
    </row>
    <row r="5" spans="1:5" ht="19.8" x14ac:dyDescent="0.45">
      <c r="A5" s="24">
        <v>2</v>
      </c>
      <c r="B5" s="2" t="s">
        <v>194</v>
      </c>
      <c r="C5" s="20">
        <v>5</v>
      </c>
      <c r="D5" s="19" t="s">
        <v>62</v>
      </c>
      <c r="E5" s="2" t="s">
        <v>196</v>
      </c>
    </row>
    <row r="6" spans="1:5" ht="17.399999999999999" x14ac:dyDescent="0.4">
      <c r="A6" s="24">
        <v>3</v>
      </c>
      <c r="B6" s="2" t="s">
        <v>195</v>
      </c>
      <c r="C6" s="8">
        <v>2</v>
      </c>
      <c r="D6" s="33" t="s">
        <v>53</v>
      </c>
      <c r="E6" s="2" t="s">
        <v>200</v>
      </c>
    </row>
    <row r="7" spans="1:5" ht="19.2" x14ac:dyDescent="0.4">
      <c r="A7" s="24">
        <v>4</v>
      </c>
      <c r="B7" s="2" t="s">
        <v>198</v>
      </c>
      <c r="C7" s="8">
        <f>C6/C5</f>
        <v>0.4</v>
      </c>
      <c r="D7" s="33" t="s">
        <v>197</v>
      </c>
      <c r="E7" s="2" t="s">
        <v>202</v>
      </c>
    </row>
    <row r="8" spans="1:5" ht="19.2" x14ac:dyDescent="0.4">
      <c r="A8" s="24">
        <v>5</v>
      </c>
      <c r="B8" s="2" t="s">
        <v>199</v>
      </c>
      <c r="C8" s="8">
        <v>0</v>
      </c>
      <c r="D8" s="33" t="s">
        <v>201</v>
      </c>
      <c r="E8" s="2" t="s">
        <v>203</v>
      </c>
    </row>
    <row r="9" spans="1:5" ht="17.399999999999999" x14ac:dyDescent="0.4">
      <c r="A9" s="24">
        <v>6</v>
      </c>
      <c r="B9" s="2"/>
      <c r="C9" s="8"/>
      <c r="D9" s="11"/>
      <c r="E9" s="2"/>
    </row>
    <row r="10" spans="1:5" ht="17.399999999999999" x14ac:dyDescent="0.4">
      <c r="A10" s="24">
        <v>7</v>
      </c>
      <c r="B10" s="4" t="s">
        <v>204</v>
      </c>
      <c r="C10" s="5" t="s">
        <v>9</v>
      </c>
      <c r="D10" s="5" t="s">
        <v>10</v>
      </c>
      <c r="E10" s="4" t="s">
        <v>11</v>
      </c>
    </row>
    <row r="11" spans="1:5" ht="18.75" customHeight="1" x14ac:dyDescent="0.45">
      <c r="A11" s="24">
        <v>8</v>
      </c>
      <c r="B11" s="2" t="s">
        <v>205</v>
      </c>
      <c r="C11" s="20">
        <v>1000</v>
      </c>
      <c r="D11" s="19" t="s">
        <v>206</v>
      </c>
      <c r="E11" s="2" t="s">
        <v>216</v>
      </c>
    </row>
    <row r="12" spans="1:5" ht="17.399999999999999" x14ac:dyDescent="0.4">
      <c r="A12" s="24">
        <v>9</v>
      </c>
      <c r="B12" s="2" t="s">
        <v>207</v>
      </c>
      <c r="C12" s="8">
        <v>5</v>
      </c>
      <c r="D12" s="33" t="s">
        <v>53</v>
      </c>
      <c r="E12" s="2" t="s">
        <v>208</v>
      </c>
    </row>
    <row r="13" spans="1:5" ht="17.399999999999999" x14ac:dyDescent="0.4">
      <c r="A13" s="24">
        <v>10</v>
      </c>
      <c r="B13" s="2"/>
      <c r="C13" s="8"/>
      <c r="D13" s="11"/>
      <c r="E13" s="2"/>
    </row>
    <row r="14" spans="1:5" ht="17.399999999999999" x14ac:dyDescent="0.4">
      <c r="A14" s="24">
        <v>11</v>
      </c>
      <c r="B14" s="4" t="s">
        <v>55</v>
      </c>
      <c r="C14" s="5" t="s">
        <v>9</v>
      </c>
      <c r="D14" s="5" t="s">
        <v>10</v>
      </c>
      <c r="E14" s="4" t="s">
        <v>11</v>
      </c>
    </row>
    <row r="15" spans="1:5" ht="19.2" x14ac:dyDescent="0.4">
      <c r="A15" s="24">
        <v>12</v>
      </c>
      <c r="B15" s="2" t="s">
        <v>117</v>
      </c>
      <c r="C15" s="20">
        <v>5</v>
      </c>
      <c r="D15" s="18" t="s">
        <v>62</v>
      </c>
      <c r="E15" s="2" t="s">
        <v>60</v>
      </c>
    </row>
    <row r="16" spans="1:5" ht="17.399999999999999" x14ac:dyDescent="0.4">
      <c r="A16" s="24">
        <v>13</v>
      </c>
      <c r="B16" s="2" t="s">
        <v>118</v>
      </c>
      <c r="C16" s="20">
        <v>16</v>
      </c>
      <c r="D16" s="18" t="s">
        <v>53</v>
      </c>
      <c r="E16" s="2" t="s">
        <v>61</v>
      </c>
    </row>
    <row r="17" spans="1:6" ht="19.2" x14ac:dyDescent="0.4">
      <c r="A17" s="24">
        <v>14</v>
      </c>
      <c r="B17" s="2" t="s">
        <v>180</v>
      </c>
      <c r="C17" s="20">
        <v>998.2</v>
      </c>
      <c r="D17" s="18" t="s">
        <v>68</v>
      </c>
      <c r="E17" s="2" t="s">
        <v>70</v>
      </c>
    </row>
    <row r="18" spans="1:6" x14ac:dyDescent="0.25">
      <c r="A18" s="24">
        <v>15</v>
      </c>
    </row>
    <row r="19" spans="1:6" ht="17.399999999999999" x14ac:dyDescent="0.4">
      <c r="A19" s="24">
        <v>16</v>
      </c>
      <c r="B19" s="4" t="s">
        <v>52</v>
      </c>
      <c r="C19" s="5" t="s">
        <v>9</v>
      </c>
      <c r="D19" s="5" t="s">
        <v>10</v>
      </c>
      <c r="E19" s="4" t="s">
        <v>11</v>
      </c>
    </row>
    <row r="20" spans="1:6" ht="17.399999999999999" x14ac:dyDescent="0.4">
      <c r="A20" s="24">
        <v>17</v>
      </c>
      <c r="B20" s="22" t="s">
        <v>219</v>
      </c>
      <c r="C20" s="20">
        <v>2</v>
      </c>
      <c r="D20" s="33" t="s">
        <v>53</v>
      </c>
      <c r="E20" s="2" t="s">
        <v>215</v>
      </c>
    </row>
    <row r="21" spans="1:6" ht="17.399999999999999" x14ac:dyDescent="0.4">
      <c r="A21" s="24">
        <v>18</v>
      </c>
      <c r="B21" s="22" t="s">
        <v>209</v>
      </c>
      <c r="C21" s="20">
        <f>C4+C12</f>
        <v>17</v>
      </c>
      <c r="D21" s="33" t="s">
        <v>53</v>
      </c>
      <c r="E21" s="27" t="s">
        <v>210</v>
      </c>
    </row>
    <row r="22" spans="1:6" ht="19.2" x14ac:dyDescent="0.4">
      <c r="A22" s="24">
        <v>19</v>
      </c>
      <c r="B22" s="22" t="s">
        <v>211</v>
      </c>
      <c r="C22" s="20">
        <f>C7</f>
        <v>0.4</v>
      </c>
      <c r="D22" s="33" t="s">
        <v>197</v>
      </c>
      <c r="E22" s="27" t="s">
        <v>212</v>
      </c>
    </row>
    <row r="23" spans="1:6" ht="19.2" x14ac:dyDescent="0.4">
      <c r="A23" s="24">
        <v>20</v>
      </c>
      <c r="B23" s="22" t="s">
        <v>213</v>
      </c>
      <c r="C23" s="20">
        <f>(C20/(C15^2))+C8</f>
        <v>0.08</v>
      </c>
      <c r="D23" s="33" t="s">
        <v>201</v>
      </c>
      <c r="E23" s="2" t="s">
        <v>214</v>
      </c>
    </row>
    <row r="24" spans="1:6" ht="15" x14ac:dyDescent="0.35">
      <c r="A24" s="24">
        <v>21</v>
      </c>
      <c r="D24" s="11"/>
      <c r="F24" s="63"/>
    </row>
    <row r="25" spans="1:6" ht="17.399999999999999" x14ac:dyDescent="0.4">
      <c r="A25" s="24">
        <v>22</v>
      </c>
      <c r="B25" s="42" t="s">
        <v>52</v>
      </c>
      <c r="C25" s="43"/>
      <c r="D25" s="11"/>
    </row>
    <row r="26" spans="1:6" ht="19.2" x14ac:dyDescent="0.4">
      <c r="A26" s="24">
        <v>23</v>
      </c>
      <c r="B26" s="37" t="s">
        <v>69</v>
      </c>
      <c r="C26" s="103" t="s">
        <v>54</v>
      </c>
      <c r="D26" s="11"/>
    </row>
    <row r="27" spans="1:6" ht="17.399999999999999" x14ac:dyDescent="0.4">
      <c r="A27" s="24">
        <v>24</v>
      </c>
      <c r="B27" s="50">
        <v>0</v>
      </c>
      <c r="C27" s="44">
        <f>$C$21+$C$22*B27+$C$23*(B27^2)</f>
        <v>17</v>
      </c>
      <c r="D27" s="11"/>
    </row>
    <row r="28" spans="1:6" ht="17.399999999999999" x14ac:dyDescent="0.4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7.399999999999999" x14ac:dyDescent="0.4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7.399999999999999" x14ac:dyDescent="0.4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7.399999999999999" x14ac:dyDescent="0.4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7.399999999999999" x14ac:dyDescent="0.4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7.399999999999999" x14ac:dyDescent="0.4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7.399999999999999" x14ac:dyDescent="0.4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7.399999999999999" x14ac:dyDescent="0.4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7.399999999999999" x14ac:dyDescent="0.4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x14ac:dyDescent="0.25">
      <c r="A37" s="24">
        <v>34</v>
      </c>
    </row>
    <row r="38" spans="1:5" ht="17.399999999999999" x14ac:dyDescent="0.4">
      <c r="A38" s="24">
        <v>35</v>
      </c>
      <c r="B38" s="4" t="s">
        <v>63</v>
      </c>
      <c r="C38" s="5"/>
      <c r="D38" s="5"/>
      <c r="E38" s="4"/>
    </row>
    <row r="39" spans="1:5" x14ac:dyDescent="0.25">
      <c r="A39" s="24">
        <v>36</v>
      </c>
    </row>
    <row r="40" spans="1:5" ht="19.2" x14ac:dyDescent="0.4">
      <c r="A40" s="24">
        <v>37</v>
      </c>
      <c r="B40" s="34" t="s">
        <v>71</v>
      </c>
      <c r="C40" s="34" t="s">
        <v>64</v>
      </c>
      <c r="D40" s="18"/>
      <c r="E40" s="2"/>
    </row>
    <row r="41" spans="1:5" ht="17.399999999999999" x14ac:dyDescent="0.4">
      <c r="A41" s="24">
        <v>38</v>
      </c>
      <c r="B41" s="38">
        <v>1.2E-2</v>
      </c>
      <c r="C41" s="34">
        <v>24.75</v>
      </c>
      <c r="D41" s="18"/>
      <c r="E41" s="2"/>
    </row>
    <row r="42" spans="1:5" ht="17.399999999999999" x14ac:dyDescent="0.4">
      <c r="A42" s="24">
        <v>39</v>
      </c>
      <c r="B42" s="39">
        <v>1.0249999999999999</v>
      </c>
      <c r="C42" s="35">
        <v>23.67</v>
      </c>
      <c r="D42" s="18"/>
      <c r="E42" s="2"/>
    </row>
    <row r="43" spans="1:5" ht="17.399999999999999" x14ac:dyDescent="0.4">
      <c r="A43" s="24">
        <v>40</v>
      </c>
      <c r="B43" s="39">
        <v>2.0129999999999999</v>
      </c>
      <c r="C43" s="35">
        <v>22.21</v>
      </c>
      <c r="D43" s="18"/>
      <c r="E43" s="2"/>
    </row>
    <row r="44" spans="1:5" ht="17.399999999999999" x14ac:dyDescent="0.4">
      <c r="A44" s="24">
        <v>41</v>
      </c>
      <c r="B44" s="39">
        <v>3.0030000000000001</v>
      </c>
      <c r="C44" s="35">
        <v>20.73</v>
      </c>
      <c r="D44" s="18"/>
      <c r="E44" s="2"/>
    </row>
    <row r="45" spans="1:5" ht="17.399999999999999" x14ac:dyDescent="0.4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7.399999999999999" x14ac:dyDescent="0.4">
      <c r="A46" s="24">
        <v>43</v>
      </c>
      <c r="B46" s="39">
        <v>4.976</v>
      </c>
      <c r="C46" s="35">
        <v>15.85</v>
      </c>
      <c r="D46" s="18"/>
      <c r="E46" s="2"/>
    </row>
    <row r="47" spans="1:5" ht="17.399999999999999" x14ac:dyDescent="0.4">
      <c r="A47" s="24">
        <v>44</v>
      </c>
      <c r="B47" s="39">
        <v>6.0049999999999999</v>
      </c>
      <c r="C47" s="35">
        <v>11.44</v>
      </c>
      <c r="D47" s="18"/>
      <c r="E47" s="2"/>
    </row>
    <row r="48" spans="1:5" ht="17.399999999999999" x14ac:dyDescent="0.4">
      <c r="A48" s="24">
        <v>45</v>
      </c>
      <c r="B48" s="39"/>
      <c r="C48" s="35"/>
      <c r="D48" s="18"/>
      <c r="E48" s="2"/>
    </row>
    <row r="49" spans="1:5" ht="17.399999999999999" x14ac:dyDescent="0.4">
      <c r="A49" s="24">
        <v>46</v>
      </c>
      <c r="B49" s="39"/>
      <c r="C49" s="35"/>
      <c r="D49" s="18"/>
      <c r="E49" s="2"/>
    </row>
    <row r="50" spans="1:5" ht="17.399999999999999" x14ac:dyDescent="0.4">
      <c r="A50" s="24">
        <v>47</v>
      </c>
      <c r="B50" s="40"/>
      <c r="C50" s="41"/>
      <c r="D50" s="18"/>
      <c r="E50" s="2"/>
    </row>
    <row r="51" spans="1:5" ht="17.399999999999999" x14ac:dyDescent="0.4">
      <c r="A51" s="24">
        <v>48</v>
      </c>
      <c r="B51" s="8"/>
      <c r="C51" s="20"/>
      <c r="D51" s="18"/>
      <c r="E51" s="2"/>
    </row>
    <row r="52" spans="1:5" ht="17.399999999999999" x14ac:dyDescent="0.4">
      <c r="A52" s="24">
        <v>49</v>
      </c>
      <c r="B52" s="4" t="s">
        <v>120</v>
      </c>
      <c r="C52" s="5"/>
      <c r="D52" s="5"/>
      <c r="E52" s="4"/>
    </row>
    <row r="53" spans="1:5" ht="17.399999999999999" x14ac:dyDescent="0.4">
      <c r="A53" s="24">
        <v>50</v>
      </c>
      <c r="B53" s="49" t="s">
        <v>121</v>
      </c>
      <c r="C53" s="20"/>
      <c r="D53" s="18"/>
      <c r="E53" s="2"/>
    </row>
    <row r="54" spans="1:5" ht="19.2" x14ac:dyDescent="0.4">
      <c r="A54" s="24">
        <v>51</v>
      </c>
      <c r="B54" s="34" t="s">
        <v>71</v>
      </c>
      <c r="C54" s="34" t="s">
        <v>122</v>
      </c>
      <c r="D54" s="18"/>
      <c r="E54" s="2"/>
    </row>
    <row r="55" spans="1:5" ht="17.399999999999999" x14ac:dyDescent="0.4">
      <c r="A55" s="24">
        <v>52</v>
      </c>
      <c r="B55" s="38">
        <v>1.2E-2</v>
      </c>
      <c r="C55" s="34">
        <v>0.253</v>
      </c>
      <c r="D55" s="18"/>
      <c r="E55" s="2"/>
    </row>
    <row r="56" spans="1:5" ht="17.399999999999999" x14ac:dyDescent="0.4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7.399999999999999" x14ac:dyDescent="0.4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7.399999999999999" x14ac:dyDescent="0.4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7.399999999999999" x14ac:dyDescent="0.4">
      <c r="A59" s="24">
        <v>56</v>
      </c>
      <c r="B59" s="39">
        <v>4.0190000000000001</v>
      </c>
      <c r="C59" s="35">
        <v>0.53</v>
      </c>
      <c r="D59" s="18"/>
      <c r="E59" s="2"/>
    </row>
    <row r="60" spans="1:5" ht="17.399999999999999" x14ac:dyDescent="0.4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7.399999999999999" x14ac:dyDescent="0.4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7.399999999999999" x14ac:dyDescent="0.4">
      <c r="A62" s="24">
        <v>59</v>
      </c>
      <c r="B62" s="39"/>
      <c r="C62" s="35"/>
      <c r="D62" s="18"/>
      <c r="E62" s="2"/>
    </row>
    <row r="63" spans="1:5" ht="17.399999999999999" x14ac:dyDescent="0.4">
      <c r="A63" s="24">
        <v>60</v>
      </c>
      <c r="B63" s="39"/>
      <c r="C63" s="35"/>
      <c r="D63" s="18"/>
      <c r="E63" s="2"/>
    </row>
    <row r="64" spans="1:5" ht="17.399999999999999" x14ac:dyDescent="0.4">
      <c r="A64" s="24">
        <v>61</v>
      </c>
      <c r="B64" s="40"/>
      <c r="C64" s="41"/>
      <c r="D64" s="18"/>
      <c r="E64" s="2"/>
    </row>
    <row r="65" spans="1:6" ht="17.399999999999999" x14ac:dyDescent="0.4">
      <c r="A65" s="24">
        <v>62</v>
      </c>
      <c r="B65" s="8"/>
      <c r="C65" s="20"/>
      <c r="D65" s="18"/>
      <c r="E65" s="2"/>
    </row>
    <row r="66" spans="1:6" ht="17.399999999999999" x14ac:dyDescent="0.4">
      <c r="A66" s="24">
        <v>63</v>
      </c>
      <c r="B66" s="49" t="s">
        <v>123</v>
      </c>
      <c r="C66" s="20"/>
      <c r="D66" s="18"/>
      <c r="E66" s="2"/>
    </row>
    <row r="67" spans="1:6" ht="19.2" x14ac:dyDescent="0.4">
      <c r="A67" s="24">
        <v>64</v>
      </c>
      <c r="B67" s="34" t="s">
        <v>71</v>
      </c>
      <c r="C67" s="34" t="s">
        <v>58</v>
      </c>
      <c r="D67" s="18"/>
      <c r="E67" s="2"/>
    </row>
    <row r="68" spans="1:6" ht="17.399999999999999" x14ac:dyDescent="0.4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7.399999999999999" x14ac:dyDescent="0.4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7.399999999999999" x14ac:dyDescent="0.4">
      <c r="A70" s="24">
        <v>67</v>
      </c>
      <c r="B70" s="39">
        <v>2.0129999999999999</v>
      </c>
      <c r="C70" s="35">
        <v>0.248</v>
      </c>
      <c r="D70" s="18"/>
      <c r="E70" s="2"/>
    </row>
    <row r="71" spans="1:6" ht="17.399999999999999" x14ac:dyDescent="0.4">
      <c r="A71" s="24">
        <v>68</v>
      </c>
      <c r="B71" s="39">
        <v>3.0030000000000001</v>
      </c>
      <c r="C71" s="35">
        <v>0.309</v>
      </c>
      <c r="D71" s="18"/>
      <c r="E71" s="2"/>
    </row>
    <row r="72" spans="1:6" ht="17.399999999999999" x14ac:dyDescent="0.4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7.399999999999999" x14ac:dyDescent="0.4">
      <c r="A73" s="24">
        <v>70</v>
      </c>
      <c r="B73" s="39">
        <v>4.976</v>
      </c>
      <c r="C73" s="35">
        <v>0.371</v>
      </c>
      <c r="D73" s="18"/>
      <c r="E73" s="2"/>
    </row>
    <row r="74" spans="1:6" ht="17.399999999999999" x14ac:dyDescent="0.4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7.399999999999999" x14ac:dyDescent="0.4">
      <c r="A75" s="24">
        <v>72</v>
      </c>
      <c r="B75" s="39"/>
      <c r="C75" s="35"/>
      <c r="D75" s="18"/>
      <c r="E75" s="2"/>
    </row>
    <row r="76" spans="1:6" ht="17.399999999999999" x14ac:dyDescent="0.4">
      <c r="A76" s="24">
        <v>73</v>
      </c>
      <c r="B76" s="39"/>
      <c r="C76" s="35"/>
      <c r="D76" s="18"/>
      <c r="E76" s="2"/>
    </row>
    <row r="77" spans="1:6" ht="17.399999999999999" x14ac:dyDescent="0.4">
      <c r="A77" s="24">
        <v>74</v>
      </c>
      <c r="B77" s="40"/>
      <c r="C77" s="41"/>
      <c r="D77" s="18"/>
      <c r="E77" s="2"/>
    </row>
    <row r="78" spans="1:6" ht="17.399999999999999" x14ac:dyDescent="0.4">
      <c r="A78" s="24">
        <v>75</v>
      </c>
      <c r="B78" s="8"/>
      <c r="C78" s="20"/>
      <c r="D78" s="18"/>
      <c r="E78" s="2"/>
    </row>
    <row r="79" spans="1:6" ht="17.399999999999999" x14ac:dyDescent="0.4">
      <c r="A79" s="24">
        <v>76</v>
      </c>
      <c r="B79" s="4" t="s">
        <v>56</v>
      </c>
      <c r="C79" s="5" t="s">
        <v>9</v>
      </c>
      <c r="D79" s="5" t="s">
        <v>10</v>
      </c>
      <c r="E79" s="4" t="s">
        <v>11</v>
      </c>
      <c r="F79" s="25"/>
    </row>
    <row r="80" spans="1:6" ht="17.399999999999999" x14ac:dyDescent="0.4">
      <c r="A80" s="24">
        <v>77</v>
      </c>
      <c r="B80" s="2" t="s">
        <v>119</v>
      </c>
      <c r="C80" s="8">
        <v>0.75</v>
      </c>
      <c r="D80" s="33" t="s">
        <v>5</v>
      </c>
      <c r="E80" s="2" t="s">
        <v>65</v>
      </c>
    </row>
    <row r="81" spans="1:5" ht="17.399999999999999" x14ac:dyDescent="0.4">
      <c r="A81" s="24">
        <v>78</v>
      </c>
      <c r="B81" s="2" t="s">
        <v>66</v>
      </c>
      <c r="C81" s="8">
        <v>2900</v>
      </c>
      <c r="D81" s="33" t="s">
        <v>57</v>
      </c>
      <c r="E81" s="2" t="s">
        <v>162</v>
      </c>
    </row>
    <row r="82" spans="1:5" ht="37.5" customHeight="1" x14ac:dyDescent="0.25">
      <c r="A82" s="24">
        <v>79</v>
      </c>
      <c r="B82" s="96" t="s">
        <v>220</v>
      </c>
      <c r="C82" s="97">
        <v>30</v>
      </c>
      <c r="D82" s="87" t="s">
        <v>6</v>
      </c>
      <c r="E82" s="98" t="s">
        <v>74</v>
      </c>
    </row>
    <row r="83" spans="1:5" ht="17.399999999999999" x14ac:dyDescent="0.4">
      <c r="A83" s="24">
        <v>80</v>
      </c>
      <c r="B83" s="2" t="s">
        <v>72</v>
      </c>
      <c r="C83" s="8">
        <v>100</v>
      </c>
      <c r="D83" s="33" t="s">
        <v>6</v>
      </c>
      <c r="E83" s="2" t="s">
        <v>73</v>
      </c>
    </row>
    <row r="84" spans="1:5" ht="17.399999999999999" x14ac:dyDescent="0.4">
      <c r="A84" s="24">
        <v>81</v>
      </c>
      <c r="B84" s="2"/>
      <c r="C84" s="8"/>
      <c r="D84" s="33"/>
      <c r="E84" s="2"/>
    </row>
    <row r="85" spans="1:5" ht="17.399999999999999" x14ac:dyDescent="0.4">
      <c r="A85" s="24">
        <v>82</v>
      </c>
      <c r="B85" s="42" t="s">
        <v>59</v>
      </c>
      <c r="C85" s="43"/>
      <c r="D85" s="12"/>
      <c r="E85" s="25"/>
    </row>
    <row r="86" spans="1:5" ht="17.399999999999999" x14ac:dyDescent="0.4">
      <c r="A86" s="24">
        <v>83</v>
      </c>
      <c r="B86" s="36" t="s">
        <v>58</v>
      </c>
      <c r="C86" s="36" t="s">
        <v>47</v>
      </c>
      <c r="D86" s="33"/>
    </row>
    <row r="87" spans="1:5" ht="17.399999999999999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7.399999999999999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7.399999999999999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7.399999999999999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7.399999999999999" x14ac:dyDescent="0.4">
      <c r="A91" s="24">
        <v>88</v>
      </c>
      <c r="B91" s="31">
        <v>0.5</v>
      </c>
      <c r="C91" s="47">
        <v>71</v>
      </c>
      <c r="D91" s="9"/>
    </row>
    <row r="92" spans="1:5" ht="17.399999999999999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7.399999999999999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7.399999999999999" x14ac:dyDescent="0.4">
      <c r="A94" s="24">
        <v>91</v>
      </c>
      <c r="B94" s="32"/>
      <c r="C94" s="41"/>
      <c r="D94" s="9"/>
      <c r="E94" s="2"/>
    </row>
    <row r="95" spans="1:5" ht="15" x14ac:dyDescent="0.35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11"/>
  <sheetViews>
    <sheetView zoomScaleNormal="100" workbookViewId="0">
      <selection activeCell="C12" sqref="C12"/>
    </sheetView>
  </sheetViews>
  <sheetFormatPr baseColWidth="10" defaultRowHeight="13.2" x14ac:dyDescent="0.25"/>
  <cols>
    <col min="1" max="1" width="2.6640625" customWidth="1"/>
    <col min="2" max="2" width="37.109375" bestFit="1" customWidth="1"/>
    <col min="3" max="3" width="9.109375" customWidth="1"/>
    <col min="4" max="4" width="8.109375" customWidth="1"/>
    <col min="5" max="5" width="114.33203125" customWidth="1"/>
  </cols>
  <sheetData>
    <row r="1" spans="1:5" ht="23.4" x14ac:dyDescent="0.55000000000000004">
      <c r="B1" s="79" t="s">
        <v>34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35">
      <c r="A4" s="24">
        <v>1</v>
      </c>
      <c r="B4" s="22" t="s">
        <v>48</v>
      </c>
      <c r="C4" s="20">
        <v>5</v>
      </c>
      <c r="D4" s="28" t="s">
        <v>7</v>
      </c>
      <c r="E4" s="21" t="s">
        <v>222</v>
      </c>
    </row>
    <row r="5" spans="1:5" ht="20.25" customHeight="1" x14ac:dyDescent="0.35">
      <c r="A5" s="24">
        <v>2</v>
      </c>
      <c r="B5" s="22" t="s">
        <v>110</v>
      </c>
      <c r="C5" s="20">
        <v>1</v>
      </c>
      <c r="D5" s="28" t="s">
        <v>7</v>
      </c>
      <c r="E5" s="21" t="s">
        <v>111</v>
      </c>
    </row>
    <row r="6" spans="1:5" ht="17.25" customHeight="1" x14ac:dyDescent="0.35">
      <c r="A6" s="24">
        <v>3</v>
      </c>
      <c r="B6" s="22" t="s">
        <v>44</v>
      </c>
      <c r="C6" s="20">
        <v>2</v>
      </c>
      <c r="D6" s="18" t="s">
        <v>7</v>
      </c>
      <c r="E6" s="21" t="s">
        <v>116</v>
      </c>
    </row>
    <row r="7" spans="1:5" ht="17.399999999999999" x14ac:dyDescent="0.35">
      <c r="A7" s="24">
        <v>4</v>
      </c>
      <c r="B7" s="22" t="s">
        <v>115</v>
      </c>
      <c r="C7" s="20">
        <v>1</v>
      </c>
      <c r="D7" s="18" t="s">
        <v>7</v>
      </c>
      <c r="E7" s="21" t="s">
        <v>67</v>
      </c>
    </row>
    <row r="8" spans="1:5" ht="17.399999999999999" x14ac:dyDescent="0.35">
      <c r="A8" s="24">
        <v>5</v>
      </c>
      <c r="B8" s="22" t="s">
        <v>42</v>
      </c>
      <c r="C8" s="20">
        <v>0.2</v>
      </c>
      <c r="D8" s="18" t="s">
        <v>7</v>
      </c>
      <c r="E8" s="21" t="s">
        <v>42</v>
      </c>
    </row>
    <row r="9" spans="1:5" ht="17.399999999999999" x14ac:dyDescent="0.45">
      <c r="A9" s="24">
        <v>6</v>
      </c>
      <c r="B9" s="22" t="s">
        <v>43</v>
      </c>
      <c r="C9" s="20">
        <v>600</v>
      </c>
      <c r="D9" s="23" t="s">
        <v>45</v>
      </c>
      <c r="E9" s="21" t="s">
        <v>43</v>
      </c>
    </row>
    <row r="10" spans="1:5" ht="17.399999999999999" x14ac:dyDescent="0.25">
      <c r="A10" s="24">
        <v>7</v>
      </c>
      <c r="B10" s="22" t="s">
        <v>303</v>
      </c>
      <c r="C10" s="86">
        <v>25</v>
      </c>
      <c r="D10" s="112" t="s">
        <v>246</v>
      </c>
      <c r="E10" s="113" t="s">
        <v>283</v>
      </c>
    </row>
    <row r="11" spans="1:5" ht="17.399999999999999" x14ac:dyDescent="0.45">
      <c r="A11" s="24">
        <v>8</v>
      </c>
      <c r="B11" s="22" t="s">
        <v>304</v>
      </c>
      <c r="C11" s="20">
        <v>0</v>
      </c>
      <c r="D11" s="23" t="s">
        <v>7</v>
      </c>
      <c r="E11" s="21" t="s">
        <v>284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B663-CAFA-4A1C-865F-AA846CCE15C6}">
  <sheetPr>
    <tabColor rgb="FF000080"/>
  </sheetPr>
  <dimension ref="A1:E12"/>
  <sheetViews>
    <sheetView workbookViewId="0">
      <selection activeCell="D14" sqref="D14"/>
    </sheetView>
  </sheetViews>
  <sheetFormatPr baseColWidth="10" defaultRowHeight="13.2" x14ac:dyDescent="0.25"/>
  <cols>
    <col min="1" max="1" width="2.33203125" bestFit="1" customWidth="1"/>
    <col min="2" max="2" width="52.5546875" bestFit="1" customWidth="1"/>
    <col min="3" max="3" width="10.77734375" customWidth="1"/>
    <col min="4" max="4" width="14.33203125" customWidth="1"/>
    <col min="5" max="5" width="70.44140625" customWidth="1"/>
  </cols>
  <sheetData>
    <row r="1" spans="1:5" ht="23.4" x14ac:dyDescent="0.55000000000000004">
      <c r="B1" s="79" t="s">
        <v>265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266</v>
      </c>
      <c r="C4" s="20">
        <v>0.3</v>
      </c>
      <c r="D4" s="23" t="s">
        <v>267</v>
      </c>
      <c r="E4" s="21" t="s">
        <v>268</v>
      </c>
    </row>
    <row r="5" spans="1:5" ht="17.399999999999999" x14ac:dyDescent="0.45">
      <c r="A5" s="24">
        <v>2</v>
      </c>
      <c r="B5" s="22" t="s">
        <v>269</v>
      </c>
      <c r="C5" s="20">
        <v>0.15</v>
      </c>
      <c r="D5" s="23" t="s">
        <v>270</v>
      </c>
      <c r="E5" s="21" t="s">
        <v>271</v>
      </c>
    </row>
    <row r="6" spans="1:5" ht="17.399999999999999" x14ac:dyDescent="0.45">
      <c r="A6" s="24">
        <v>3</v>
      </c>
      <c r="B6" s="22" t="s">
        <v>272</v>
      </c>
      <c r="C6" s="20">
        <v>200</v>
      </c>
      <c r="D6" s="23" t="s">
        <v>273</v>
      </c>
      <c r="E6" s="21" t="s">
        <v>274</v>
      </c>
    </row>
    <row r="7" spans="1:5" ht="17.399999999999999" x14ac:dyDescent="0.45">
      <c r="A7" s="24">
        <v>4</v>
      </c>
      <c r="B7" s="22" t="s">
        <v>275</v>
      </c>
      <c r="C7" s="20">
        <v>0</v>
      </c>
      <c r="D7" s="23" t="s">
        <v>276</v>
      </c>
      <c r="E7" s="21" t="s">
        <v>277</v>
      </c>
    </row>
    <row r="8" spans="1:5" ht="17.399999999999999" x14ac:dyDescent="0.45">
      <c r="A8" s="24">
        <v>5</v>
      </c>
      <c r="B8" s="22" t="s">
        <v>285</v>
      </c>
      <c r="C8" s="20">
        <v>0</v>
      </c>
      <c r="D8" s="23" t="s">
        <v>276</v>
      </c>
      <c r="E8" s="21" t="s">
        <v>286</v>
      </c>
    </row>
    <row r="9" spans="1:5" ht="16.8" customHeight="1" x14ac:dyDescent="0.25">
      <c r="A9" s="24">
        <v>6</v>
      </c>
      <c r="B9" s="22" t="s">
        <v>289</v>
      </c>
      <c r="C9" s="86">
        <v>1.5</v>
      </c>
      <c r="D9" s="112" t="s">
        <v>290</v>
      </c>
      <c r="E9" s="113" t="s">
        <v>291</v>
      </c>
    </row>
    <row r="10" spans="1:5" ht="17.399999999999999" x14ac:dyDescent="0.45">
      <c r="A10" s="24">
        <v>7</v>
      </c>
      <c r="B10" s="22" t="s">
        <v>278</v>
      </c>
      <c r="C10" s="20">
        <v>1000</v>
      </c>
      <c r="D10" s="23" t="s">
        <v>279</v>
      </c>
      <c r="E10" s="21" t="s">
        <v>280</v>
      </c>
    </row>
    <row r="11" spans="1:5" ht="17.399999999999999" x14ac:dyDescent="0.45">
      <c r="A11" s="24">
        <v>8</v>
      </c>
      <c r="B11" s="22" t="s">
        <v>281</v>
      </c>
      <c r="C11" s="20">
        <v>0.01</v>
      </c>
      <c r="D11" s="23" t="s">
        <v>7</v>
      </c>
      <c r="E11" s="21" t="s">
        <v>287</v>
      </c>
    </row>
    <row r="12" spans="1:5" ht="17.399999999999999" x14ac:dyDescent="0.45">
      <c r="A12" s="24">
        <v>9</v>
      </c>
      <c r="B12" s="22" t="s">
        <v>282</v>
      </c>
      <c r="C12" s="20">
        <v>0.05</v>
      </c>
      <c r="D12" s="23" t="s">
        <v>7</v>
      </c>
      <c r="E12" s="2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Site</vt:lpstr>
      <vt:lpstr>Meteo</vt:lpstr>
      <vt:lpstr>PVgen</vt:lpstr>
      <vt:lpstr>Inverter</vt:lpstr>
      <vt:lpstr>Wiring</vt:lpstr>
      <vt:lpstr>Battery</vt:lpstr>
      <vt:lpstr>BatteryMKBM</vt:lpstr>
      <vt:lpstr>Load</vt:lpstr>
      <vt:lpstr>Genset</vt:lpstr>
      <vt:lpstr>Wind</vt:lpstr>
      <vt:lpstr>Pumping</vt:lpstr>
      <vt:lpstr>Options</vt:lpstr>
      <vt:lpstr>Economics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ITAHISA HERNANDEZ FUMERO</cp:lastModifiedBy>
  <cp:lastPrinted>2014-04-13T10:38:15Z</cp:lastPrinted>
  <dcterms:created xsi:type="dcterms:W3CDTF">2009-11-12T13:58:58Z</dcterms:created>
  <dcterms:modified xsi:type="dcterms:W3CDTF">2026-09-17T20:06:04Z</dcterms:modified>
</cp:coreProperties>
</file>